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7189b1f13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960c3c5ac0c428f"/>
    <x:sheet xmlns:r="http://schemas.openxmlformats.org/officeDocument/2006/relationships" name="Premissas" sheetId="2" r:id="Reb8dbfe8f7cd473d"/>
    <x:sheet xmlns:r="http://schemas.openxmlformats.org/officeDocument/2006/relationships" name="Planos_Atuais" sheetId="3" r:id="R799fff3d1b9b4a71"/>
    <x:sheet xmlns:r="http://schemas.openxmlformats.org/officeDocument/2006/relationships" name="Fornecedores_COGS" sheetId="4" r:id="Ref55c0460be54c26"/>
    <x:sheet xmlns:r="http://schemas.openxmlformats.org/officeDocument/2006/relationships" name="Perfis_Uso" sheetId="5" r:id="Rf59133771ec74ab4"/>
    <x:sheet xmlns:r="http://schemas.openxmlformats.org/officeDocument/2006/relationships" name="Escala" sheetId="6" r:id="R7e79c44ad1ea47ca"/>
    <x:sheet xmlns:r="http://schemas.openxmlformats.org/officeDocument/2006/relationships" name="Unit_Economics" sheetId="7" r:id="R4ce25be1ff514ff4"/>
    <x:sheet xmlns:r="http://schemas.openxmlformats.org/officeDocument/2006/relationships" name="CAC" sheetId="8" r:id="Ref127158ed8d4d75"/>
    <x:sheet xmlns:r="http://schemas.openxmlformats.org/officeDocument/2006/relationships" name="Projecao_24M" sheetId="9" r:id="Re64282d1490b42db"/>
    <x:sheet xmlns:r="http://schemas.openxmlformats.org/officeDocument/2006/relationships" name="Sensibilidade" sheetId="10" r:id="R7e114df2166343a0"/>
    <x:sheet xmlns:r="http://schemas.openxmlformats.org/officeDocument/2006/relationships" name="Stress_Tests" sheetId="11" r:id="R5555fddb0df74479"/>
    <x:sheet xmlns:r="http://schemas.openxmlformats.org/officeDocument/2006/relationships" name="Pricing" sheetId="12" r:id="R1fdc5401d4f84d66"/>
    <x:sheet xmlns:r="http://schemas.openxmlformats.org/officeDocument/2006/relationships" name="Pagamentos" sheetId="13" r:id="R2997d69a27cb49fe"/>
    <x:sheet xmlns:r="http://schemas.openxmlformats.org/officeDocument/2006/relationships" name="Checks" sheetId="14" r:id="Re62a9e287b714420"/>
    <x:sheet xmlns:r="http://schemas.openxmlformats.org/officeDocument/2006/relationships" name="Fontes" sheetId="15" r:id="Rf581a7d8d8b54655"/>
  </x:sheets>
</x:workbook>
</file>

<file path=xl/comments1.xml><?xml version="1.0" encoding="utf-8"?>
<x:comments xmlns:x="http://schemas.openxmlformats.org/spreadsheetml/2006/main">
  <x:authors>
    <x:author>tc={336DFBEB-7A86-AF4C-55D6-3AEE47D3A239}</x:author>
    <x:author>tc={8B39F9A6-0A35-9C8F-5392-E1EB2F2548B8}</x:author>
    <x:author>tc={BDEA1841-DDAC-3AC4-EF29-AD71E196C75D}</x:author>
    <x:author>tc={B627A846-FF05-9706-601B-ACA69D622300}</x:author>
    <x:author>tc={F2EDF69B-4228-B950-2E3A-C5E1C913F552}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https://olinda.bcb.gov.br/olinda/servico/PTAX/versao/v1/odata/
PTAX venda em 12/08/2026: R$5,1639.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https://supabase.com/pricing
Supabase Pro from US$25/mês.</x:t>
        </x:r>
      </x:text>
    </x:comment>
    <x:comment ref="C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https://vercel.com/docs/plans/pro-plan
Vercel Pro platform fee US$20/mês.</x:t>
        </x:r>
      </x:text>
    </x:comment>
    <x:comment ref="C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https://ai.google.dev/gemini-api/docs/pricing
Gemini 2.5 Flash US$0,30 input e US$2,50 output por 1M tokens.</x:t>
        </x:r>
      </x:text>
    </x:comment>
    <x:comment ref="C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https://www.asaas.com/precos-e-taxas
Taxas padrão vigentes; ofertas temporárias excluídas.</x:t>
        </x:r>
      </x:text>
    </x:comment>
  </x:commentList>
</x:comments>
</file>

<file path=xl/comments2.xml><?xml version="1.0" encoding="utf-8"?>
<x:comments xmlns:x="http://schemas.openxmlformats.org/spreadsheetml/2006/main">
  <x:authors>
    <x:author>tc={6AC032AE-39A3-2A36-F573-BF4C51723C8F}</x:author>
    <x:author>tc={83A14F4B-F499-EE03-E714-776A884C60F6}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repo://supabase/migrations/20260807120000_plans_subscriptions.sql
Seed data dos planos no repositório.</x:t>
        </x:r>
      </x:text>
    </x:comment>
    <x:comment ref="A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repo://src/services/paymentProvider.ts
Provider de cobrança SaaS é MockPaymentProvider.</x:t>
        </x:r>
      </x:text>
    </x:comment>
  </x:commentList>
</x:comments>
</file>

<file path=xl/comments3.xml><?xml version="1.0" encoding="utf-8"?>
<x:comments xmlns:x="http://schemas.openxmlformats.org/spreadsheetml/2006/main">
  <x:authors>
    <x:author>tc={08639463-5C5C-6498-CC35-C471C6E84ED5}</x:author>
    <x:author>tc={2C6A92FD-CB39-E39D-9B81-8712F1EA73B6}</x:author>
    <x:author>tc={E0C53503-52A3-E1F7-B8C3-45A3117B8E1B}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https://www.asaas.com/precos-e-taxas
Taxas padrão consultadas em 12/08/2026.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https://stripe.com/br/pricing
Tarifas Stripe Brasil; Billing cobrado separadamente.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https://vindi.com.br/precos/
Planos Essential R$299, Pro R$499, Premium R$1.119 + transações.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#,##0.00"/>
    <x:numFmt numFmtId="201" formatCode="0.0%"/>
    <x:numFmt numFmtId="202" formatCode="R$ #,##0.00"/>
    <x:numFmt numFmtId="203" formatCode="#,##0.0000"/>
    <x:numFmt numFmtId="204" formatCode="0%"/>
    <x:numFmt numFmtId="205" formatCode="#,##0"/>
    <x:numFmt numFmtId="206" formatCode="0.0x"/>
    <x:numFmt numFmtId="207" formatCode="0.0 &quot;meses&quot;"/>
    <x:numFmt numFmtId="208" formatCode="0 &quot;contas&quot;"/>
    <x:numFmt numFmtId="209" formatCode="#,##0.0"/>
    <x:numFmt numFmtId="210" formatCode="0"/>
    <x:numFmt numFmtId="211" formatCode="R$ #,##0"/>
    <x:numFmt numFmtId="212" formatCode="0.0"/>
    <x:numFmt numFmtId="213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C84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b/>
      <x:sz val="12"/>
      <x:color rgb="FFC73E3A"/>
      <x:name val="Carlito"/>
    </x:font>
    <x:font>
      <x:b/>
      <x:sz val="11"/>
      <x:color rgb="FF172B4D"/>
      <x:name val="Carlito"/>
    </x:font>
    <x:font>
      <x:b/>
      <x:sz val="12"/>
      <x:color rgb="FF1B8A5A"/>
      <x:name val="Carlito"/>
    </x:font>
    <x:font>
      <x:sz val="1"/>
      <x:color rgb="FFFFFFFF"/>
      <x:name val="Carlito"/>
    </x:font>
    <x:font>
      <x:b/>
      <x:sz val="10"/>
      <x:color rgb="FF172B4D"/>
      <x:name val="Aptos"/>
    </x:font>
    <x:font>
      <x:sz val="10"/>
      <x:color rgb="FF172B4D"/>
      <x:name val="Aptos"/>
    </x:font>
    <x:font>
      <x:i/>
      <x:sz val="10"/>
      <x:color rgb="FF172B4D"/>
      <x:name val="Aptos"/>
    </x:font>
    <x:font>
      <x:b/>
      <x:sz val="18"/>
      <x:color rgb="FFFFFFFF"/>
      <x:name val="Aptos Display"/>
    </x:font>
    <x:font>
      <x:sz val="1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0FF"/>
      </x:patternFill>
    </x:fill>
    <x:fill>
      <x:patternFill patternType="solid">
        <x:fgColor rgb="FF2F6B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5F7FB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200" fontId="4" fillId="7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4" fillId="5" borderId="1" xfId="0" applyNumberFormat="1" applyFont="1" applyFill="1" applyBorder="1"/>
    <x:xf numFmtId="202" fontId="4" fillId="5" borderId="1" xfId="0" applyNumberFormat="1" applyFont="1" applyFill="1" applyBorder="1"/>
    <x:xf numFmtId="204" fontId="4" fillId="5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6" fontId="4" fillId="7" borderId="1" xfId="0" applyNumberFormat="1" applyFont="1" applyFill="1" applyBorder="1"/>
    <x:xf numFmtId="207" fontId="4" fillId="7" borderId="1" xfId="0" applyNumberFormat="1" applyFont="1" applyFill="1" applyBorder="1"/>
    <x:xf numFmtId="208" fontId="4" fillId="7" borderId="1" xfId="0" applyNumberFormat="1" applyFont="1" applyFill="1" applyBorder="1"/>
    <x:xf numFmtId="206" fontId="4" fillId="7" borderId="1" xfId="0" applyNumberFormat="1" applyFont="1" applyFill="1" applyBorder="1" applyAlignment="1">
      <x:alignment vertical="center"/>
    </x:xf>
    <x:xf numFmtId="207" fontId="4" fillId="7" borderId="1" xfId="0" applyNumberFormat="1" applyFont="1" applyFill="1" applyBorder="1" applyAlignment="1">
      <x:alignment vertical="center"/>
    </x:xf>
    <x:xf numFmtId="208" fontId="4" fillId="7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/>
    <x:xf numFmtId="209" fontId="4" fillId="7" borderId="1" xfId="0" applyNumberFormat="1" applyFont="1" applyFill="1" applyBorder="1"/>
    <x:xf numFmtId="205" fontId="4" fillId="7" borderId="1" xfId="0" applyNumberFormat="1" applyFont="1" applyFill="1" applyBorder="1" applyAlignment="1">
      <x:alignment vertical="center"/>
    </x:xf>
    <x:xf numFmtId="209" fontId="4" fillId="7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210" fontId="0" fillId="0" borderId="1" xfId="0" applyNumberFormat="1" applyFont="1" applyFill="1" applyBorder="1" applyAlignment="1">
      <x:alignment vertical="center"/>
    </x:xf>
    <x:xf numFmtId="211" fontId="4" fillId="5" borderId="1" xfId="0" applyNumberFormat="1" applyFont="1" applyFill="1" applyBorder="1"/>
    <x:xf numFmtId="211" fontId="4" fillId="5" borderId="1" xfId="0" applyNumberFormat="1" applyFont="1" applyFill="1" applyBorder="1" applyAlignment="1">
      <x:alignment vertical="center"/>
    </x:xf>
    <x:xf numFmtId="204" fontId="3" fillId="4" borderId="1" xfId="0" applyNumberFormat="1" applyFont="1" applyFill="1" applyBorder="1" applyAlignment="1">
      <x:alignment wrapText="1"/>
    </x:xf>
    <x:xf numFmtId="204" fontId="3" fillId="4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11" fontId="0" fillId="0" borderId="0" xfId="0" applyNumberFormat="1" applyFont="1" applyFill="1" applyBorder="1"/>
    <x:xf numFmtId="211" fontId="0" fillId="0" borderId="1" xfId="0" applyNumberFormat="1" applyFont="1" applyFill="1" applyBorder="1"/>
    <x:xf numFmtId="211" fontId="0" fillId="0" borderId="1" xfId="0" applyNumberFormat="1" applyFont="1" applyFill="1" applyBorder="1" applyAlignment="1">
      <x:alignment vertical="center"/>
    </x:xf>
    <x:xf numFmtId="212" fontId="4" fillId="5" borderId="1" xfId="0" applyNumberFormat="1" applyFont="1" applyFill="1" applyBorder="1"/>
    <x:xf numFmtId="212" fontId="4" fillId="5" borderId="1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13" fontId="4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/>
    </x:xf>
    <x:xf numFmtId="200" fontId="10" fillId="7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wrapText="1"/>
    </x:xf>
    <x:xf numFmtId="201" fontId="10" fillId="7" borderId="1" xfId="0" applyNumberFormat="1" applyFont="1" applyFill="1" applyBorder="1" applyAlignment="1">
      <x:alignment vertical="center"/>
    </x:xf>
    <x:xf numFmtId="206" fontId="10" fillId="7" borderId="1" xfId="0" applyNumberFormat="1" applyFont="1" applyFill="1" applyBorder="1" applyAlignment="1">
      <x:alignment vertical="center"/>
    </x:xf>
    <x:xf numFmtId="207" fontId="10" fillId="7" borderId="1" xfId="0" applyNumberFormat="1" applyFont="1" applyFill="1" applyBorder="1" applyAlignment="1">
      <x:alignment vertical="center"/>
    </x:xf>
    <x:xf numFmtId="208" fontId="10" fillId="7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200" fontId="10" fillId="5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3" fontId="10" fillId="0" borderId="1" xfId="0" applyNumberFormat="1" applyFont="1" applyFill="1" applyBorder="1" applyAlignment="1">
      <x:alignment vertical="center"/>
    </x:xf>
    <x:xf numFmtId="204" fontId="10" fillId="5" borderId="1" xfId="0" applyNumberFormat="1" applyFont="1" applyFill="1" applyBorder="1" applyAlignment="1">
      <x:alignment vertical="center"/>
    </x:xf>
    <x:xf numFmtId="202" fontId="10" fillId="5" borderId="1" xfId="0" applyNumberFormat="1" applyFont="1" applyFill="1" applyBorder="1" applyAlignment="1">
      <x:alignment vertical="center"/>
    </x:xf>
    <x:xf numFmtId="205" fontId="10" fillId="0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205" fontId="10" fillId="7" borderId="1" xfId="0" applyNumberFormat="1" applyFont="1" applyFill="1" applyBorder="1" applyAlignment="1">
      <x:alignment vertical="center"/>
    </x:xf>
    <x:xf numFmtId="209" fontId="10" fillId="7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wrapText="1"/>
    </x:xf>
    <x:xf numFmtId="210" fontId="10" fillId="0" borderId="1" xfId="0" applyNumberFormat="1" applyFont="1" applyFill="1" applyBorder="1" applyAlignment="1">
      <x:alignment vertical="center"/>
    </x:xf>
    <x:xf numFmtId="211" fontId="10" fillId="5" borderId="1" xfId="0" applyNumberFormat="1" applyFont="1" applyFill="1" applyBorder="1" applyAlignment="1">
      <x:alignment vertical="center"/>
    </x:xf>
    <x:xf numFmtId="204" fontId="9" fillId="4" borderId="1" xfId="0" applyNumberFormat="1" applyFont="1" applyFill="1" applyBorder="1" applyAlignment="1">
      <x:alignment vertical="center" wrapText="1"/>
    </x:xf>
    <x:xf numFmtId="211" fontId="10" fillId="0" borderId="1" xfId="0" applyNumberFormat="1" applyFont="1" applyFill="1" applyBorder="1" applyAlignment="1">
      <x:alignment vertical="center"/>
    </x:xf>
    <x:xf numFmtId="212" fontId="10" fillId="5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wrapText="1"/>
    </x:xf>
    <x:xf numFmtId="213" fontId="10" fillId="7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eae60b5c24e7c" /><Relationship Type="http://schemas.openxmlformats.org/officeDocument/2006/relationships/theme" Target="/xl/theme/theme1.xml" Id="Rbc3c54ce98384118" /><Relationship Type="http://schemas.openxmlformats.org/officeDocument/2006/relationships/sharedStrings" Target="/xl/sharedStrings.xml" Id="R557a903066ba42c5" /><Relationship Type="http://schemas.openxmlformats.org/officeDocument/2006/relationships/worksheet" Target="/xl/worksheets/sheet1.xml" Id="R4960c3c5ac0c428f" /><Relationship Type="http://schemas.openxmlformats.org/officeDocument/2006/relationships/worksheet" Target="/xl/worksheets/sheet2.xml" Id="Reb8dbfe8f7cd473d" /><Relationship Type="http://schemas.openxmlformats.org/officeDocument/2006/relationships/worksheet" Target="/xl/worksheets/sheet3.xml" Id="R799fff3d1b9b4a71" /><Relationship Type="http://schemas.openxmlformats.org/officeDocument/2006/relationships/worksheet" Target="/xl/worksheets/sheet4.xml" Id="Ref55c0460be54c26" /><Relationship Type="http://schemas.openxmlformats.org/officeDocument/2006/relationships/worksheet" Target="/xl/worksheets/sheet5.xml" Id="Rf59133771ec74ab4" /><Relationship Type="http://schemas.openxmlformats.org/officeDocument/2006/relationships/worksheet" Target="/xl/worksheets/sheet6.xml" Id="R7e79c44ad1ea47ca" /><Relationship Type="http://schemas.openxmlformats.org/officeDocument/2006/relationships/worksheet" Target="/xl/worksheets/sheet7.xml" Id="R4ce25be1ff514ff4" /><Relationship Type="http://schemas.openxmlformats.org/officeDocument/2006/relationships/worksheet" Target="/xl/worksheets/sheet8.xml" Id="Ref127158ed8d4d75" /><Relationship Type="http://schemas.openxmlformats.org/officeDocument/2006/relationships/worksheet" Target="/xl/worksheets/sheet9.xml" Id="Re64282d1490b42db" /><Relationship Type="http://schemas.openxmlformats.org/officeDocument/2006/relationships/worksheet" Target="/xl/worksheets/sheet10.xml" Id="R7e114df2166343a0" /><Relationship Type="http://schemas.openxmlformats.org/officeDocument/2006/relationships/worksheet" Target="/xl/worksheets/sheet11.xml" Id="R5555fddb0df74479" /><Relationship Type="http://schemas.openxmlformats.org/officeDocument/2006/relationships/worksheet" Target="/xl/worksheets/sheet12.xml" Id="R1fdc5401d4f84d66" /><Relationship Type="http://schemas.openxmlformats.org/officeDocument/2006/relationships/worksheet" Target="/xl/worksheets/sheet13.xml" Id="R2997d69a27cb49fe" /><Relationship Type="http://schemas.openxmlformats.org/officeDocument/2006/relationships/worksheet" Target="/xl/worksheets/sheet14.xml" Id="Re62a9e287b714420" /><Relationship Type="http://schemas.openxmlformats.org/officeDocument/2006/relationships/worksheet" Target="/xl/worksheets/sheet15.xml" Id="Rf581a7d8d8b54655" /><Relationship Type="http://schemas.microsoft.com/office/2017/10/relationships/person" Target="/xl/persons/person.xml" Id="R73a9cdd4dc6843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9ba702599c4f70" /><Relationship Type="http://schemas.openxmlformats.org/officeDocument/2006/relationships/chart" Target="/xl/drawings/charts/chart2.xml" Id="Rd72f3ea3500f45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5409eed91bd44b2" /><Relationship Type="http://schemas.openxmlformats.org/officeDocument/2006/relationships/chart" Target="/xl/drawings/charts/chart4.xml" Id="Rb7038a15f03041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por contas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MRR</c:v>
          </c:tx>
          <c:cat>
            <c:strRef>
              <c:f>'Resumo'!$N$33:$N$40</c:f>
              <c:strCache>
                <c:ptCount val="0"/>
              </c:strCache>
            </c:strRef>
          </c:cat>
          <c:val>
            <c:numRef>
              <c:f>'Resumo'!$O$33:$O$40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Margem bruta por escala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Margem</c:v>
          </c:tx>
          <c:marker>
            <c:symbol val="none"/>
          </c:marker>
          <c:cat>
            <c:strRef>
              <c:f>'Resumo'!$Q$33:$Q$40</c:f>
              <c:strCache>
                <c:ptCount val="0"/>
              </c:strCache>
            </c:strRef>
          </c:cat>
          <c:val>
            <c:numRef>
              <c:f>'Resumo'!$R$33:$R$40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por escala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MRR</c:v>
          </c:tx>
          <c:cat>
            <c:strRef>
              <c:f>'Escala'!$S$33:$S$40</c:f>
              <c:strCache>
                <c:ptCount val="0"/>
              </c:strCache>
            </c:strRef>
          </c:cat>
          <c:val>
            <c:numRef>
              <c:f>'Escala'!$T$33:$T$40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Margem bruta por escala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Margem</c:v>
          </c:tx>
          <c:marker>
            <c:symbol val="none"/>
          </c:marker>
          <c:cat>
            <c:strRef>
              <c:f>'Escala'!$V$33:$V$40</c:f>
              <c:strCache>
                <c:ptCount val="0"/>
              </c:strCache>
            </c:strRef>
          </c:cat>
          <c:val>
            <c:numRef>
              <c:f>'Escala'!$W$33:$W$40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9ba702599c4f70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2f3ea3500f45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09eed91bd44b2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038a15f030410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 — Estudo Lotti" id="{95884C47-DDC6-4A16-9083-9E9D0BF7021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08-13T01:03:41.991" personId="{95884C47-DDC6-4A16-9083-9E9D0BF70214}" id="{336DFBEB-7A86-AF4C-55D6-3AEE47D3A239}">
    <xltc:text>Fonte: https://olinda.bcb.gov.br/olinda/servico/PTAX/versao/v1/odata/
PTAX venda em 12/08/2026: R$5,1639.</xltc:text>
  </xltc:threadedComment>
  <xltc:threadedComment ref="C6" dT="2026-08-13T01:03:42.012" personId="{95884C47-DDC6-4A16-9083-9E9D0BF70214}" id="{8B39F9A6-0A35-9C8F-5392-E1EB2F2548B8}">
    <xltc:text>Fonte: https://supabase.com/pricing
Supabase Pro from US$25/mês.</xltc:text>
  </xltc:threadedComment>
  <xltc:threadedComment ref="C7" dT="2026-08-13T01:03:42.013" personId="{95884C47-DDC6-4A16-9083-9E9D0BF70214}" id="{BDEA1841-DDAC-3AC4-EF29-AD71E196C75D}">
    <xltc:text>Fonte: https://vercel.com/docs/plans/pro-plan
Vercel Pro platform fee US$20/mês.</xltc:text>
  </xltc:threadedComment>
  <xltc:threadedComment ref="C8" dT="2026-08-13T01:03:42.013" personId="{95884C47-DDC6-4A16-9083-9E9D0BF70214}" id="{B627A846-FF05-9706-601B-ACA69D622300}">
    <xltc:text>Fonte: https://ai.google.dev/gemini-api/docs/pricing
Gemini 2.5 Flash US$0,30 input e US$2,50 output por 1M tokens.</xltc:text>
  </xltc:threadedComment>
  <xltc:threadedComment ref="C11" dT="2026-08-13T01:03:42.013" personId="{95884C47-DDC6-4A16-9083-9E9D0BF70214}" id="{F2EDF69B-4228-B950-2E3A-C5E1C913F552}">
    <xltc:text>Fonte: https://www.asaas.com/precos-e-taxas
Taxas padrão vigentes; ofertas temporárias excluídas.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13T01:03:42.034" personId="{95884C47-DDC6-4A16-9083-9E9D0BF70214}" id="{6AC032AE-39A3-2A36-F573-BF4C51723C8F}">
    <xltc:text>Fonte: repo://supabase/migrations/20260807120000_plans_subscriptions.sql
Seed data dos planos no repositório.</xltc:text>
  </xltc:threadedComment>
  <xltc:threadedComment ref="A18" dT="2026-08-13T01:03:42.035" personId="{95884C47-DDC6-4A16-9083-9E9D0BF70214}" id="{83A14F4B-F499-EE03-E714-776A884C60F6}">
    <xltc:text>Fonte: repo://src/services/paymentProvider.ts
Provider de cobrança SaaS é MockPaymentProvider.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5" dT="2026-08-13T01:03:42.685" personId="{95884C47-DDC6-4A16-9083-9E9D0BF70214}" id="{08639463-5C5C-6498-CC35-C471C6E84ED5}">
    <xltc:text>Fonte: https://www.asaas.com/precos-e-taxas
Taxas padrão consultadas em 12/08/2026.</xltc:text>
  </xltc:threadedComment>
  <xltc:threadedComment ref="C6" dT="2026-08-13T01:03:42.686" personId="{95884C47-DDC6-4A16-9083-9E9D0BF70214}" id="{2C6A92FD-CB39-E39D-9B81-8712F1EA73B6}">
    <xltc:text>Fonte: https://stripe.com/br/pricing
Tarifas Stripe Brasil; Billing cobrado separadamente.</xltc:text>
  </xltc:threadedComment>
  <xltc:threadedComment ref="B7" dT="2026-08-13T01:03:42.686" personId="{95884C47-DDC6-4A16-9083-9E9D0BF70214}" id="{E0C53503-52A3-E1F7-B8C3-45A3117B8E1B}">
    <xltc:text>Fonte: https://vindi.com.br/precos/
Planos Essential R$299, Pro R$499, Premium R$1.119 + transações.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1449cd8cc3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807e5750da740e9" /><Relationship Type="http://schemas.openxmlformats.org/officeDocument/2006/relationships/vmlDrawing" Target="/xl/drawings/vmldrawing.vml" Id="Rc55c81128187478c" /><Relationship Type="http://schemas.microsoft.com/office/2017/10/relationships/threadedComment" Target="/xl/threadedcomments/threadedcomment.xml" Id="R3e575daa06c0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fd67ff5552d4fcb" /><Relationship Type="http://schemas.openxmlformats.org/officeDocument/2006/relationships/vmlDrawing" Target="/xl/drawings/vmldrawing2.vml" Id="R3ba9eb630a7740f2" /><Relationship Type="http://schemas.microsoft.com/office/2017/10/relationships/threadedComment" Target="/xl/threadedcomments/threadedcomment2.xml" Id="Rf99acd4f7c874e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d86ef4aa4a0840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d70833135b7940cf" /><Relationship Type="http://schemas.openxmlformats.org/officeDocument/2006/relationships/vmlDrawing" Target="/xl/drawings/vmldrawing3.vml" Id="Rdeefe83f374e47a1" /><Relationship Type="http://schemas.microsoft.com/office/2017/10/relationships/threadedComment" Target="/xl/threadedcomments/threadedcomment3.xml" Id="R2355471d1bfe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88" t="str">
        <x:v>Lotti — Pricing &amp; Unit Economics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</x:row>
    <x:row r="2" ht="26" customHeight="1">
      <x:c r="A2" s="79" t="str">
        <x:v>Modelo decisório | versão 1.0 | 12/08/2026 | BRL | fatos separados de hipóteses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</x:row>
    <x:row r="4" ht="24" customHeight="1">
      <x:c r="A4" s="80" t="str">
        <x:v>KPI</x:v>
      </x:c>
      <x:c r="B4" s="80" t="str">
        <x:v>Base</x:v>
      </x:c>
      <x:c r="C4" s="80" t="str">
        <x:v>Guardrail</x:v>
      </x:c>
      <x:c r="D4" s="80" t="str">
        <x:v>Leitura</x:v>
      </x:c>
      <x:c r="E4" s="80"/>
      <x:c r="F4" s="80" t="str">
        <x:v>Recomendação executiva</x:v>
      </x:c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78"/>
      <x:c r="R4" s="78"/>
    </x:row>
    <x:row r="5" ht="38" customHeight="1">
      <x:c r="A5" s="81" t="str">
        <x:v>ARPA equilibrado</x:v>
      </x:c>
      <x:c r="B5" s="82" t="n">
        <x:f>Unit_Economics!B5</x:f>
        <x:v>208</x:v>
      </x:c>
      <x:c r="C5" s="81" t="str">
        <x:v>R$208</x:v>
      </x:c>
      <x:c r="D5" s="81" t="str">
        <x:v>Mix 55%/35%/10%</x:v>
      </x:c>
      <x:c r="E5" s="78"/>
      <x:c r="F5" s="83" t="str">
        <x:v>1. Adotar R$129 / R$249 / R$499 como cenário equilibrado a testar.</x:v>
      </x:c>
      <x:c r="G5" s="83"/>
      <x:c r="H5" s="83"/>
      <x:c r="I5" s="83"/>
      <x:c r="J5" s="83"/>
      <x:c r="K5" s="83"/>
      <x:c r="L5" s="78"/>
      <x:c r="M5" s="78"/>
      <x:c r="N5" s="78"/>
      <x:c r="O5" s="78"/>
      <x:c r="P5" s="78"/>
      <x:c r="Q5" s="78"/>
      <x:c r="R5" s="78"/>
    </x:row>
    <x:row r="6" ht="38" customHeight="1">
      <x:c r="A6" s="81" t="str">
        <x:v>COGS direto/conta</x:v>
      </x:c>
      <x:c r="B6" s="82" t="n">
        <x:f>Unit_Economics!B7</x:f>
        <x:v>34.934725773</x:v>
      </x:c>
      <x:c r="C6" s="81" t="str">
        <x:v>≤ R$42</x:v>
      </x:c>
      <x:c r="D6" s="81" t="str">
        <x:v>Inclui gateway; exclui Opex</x:v>
      </x:c>
      <x:c r="E6" s="78"/>
      <x:c r="F6" s="83" t="str">
        <x:v>2. Preço por conta + usuários/uso incluídos + add-ons/créditos; nada ilimitado de IA/WhatsApp.</x:v>
      </x:c>
      <x:c r="G6" s="83"/>
      <x:c r="H6" s="83"/>
      <x:c r="I6" s="83"/>
      <x:c r="J6" s="83"/>
      <x:c r="K6" s="83"/>
      <x:c r="L6" s="78"/>
      <x:c r="M6" s="78"/>
      <x:c r="N6" s="78"/>
      <x:c r="O6" s="78"/>
      <x:c r="P6" s="78"/>
      <x:c r="Q6" s="78"/>
      <x:c r="R6" s="78"/>
    </x:row>
    <x:row r="7" ht="38" customHeight="1">
      <x:c r="A7" s="81" t="str">
        <x:v>Margem bruta</x:v>
      </x:c>
      <x:c r="B7" s="84" t="n">
        <x:f>Unit_Economics!B8</x:f>
        <x:v>0.8320445876298077</x:v>
      </x:c>
      <x:c r="C7" s="81" t="str">
        <x:v>≥80%</x:v>
      </x:c>
      <x:c r="D7" s="81" t="str">
        <x:v>Escala melhora por diluição de fixo tech</x:v>
      </x:c>
      <x:c r="E7" s="78"/>
      <x:c r="F7" s="83" t="str">
        <x:v>3. ICP inicial: corretor ou imobiliária pequena com carteira de locação.</x:v>
      </x:c>
      <x:c r="G7" s="83"/>
      <x:c r="H7" s="83"/>
      <x:c r="I7" s="83"/>
      <x:c r="J7" s="83"/>
      <x:c r="K7" s="83"/>
      <x:c r="L7" s="78"/>
      <x:c r="M7" s="78"/>
      <x:c r="N7" s="78"/>
      <x:c r="O7" s="78"/>
      <x:c r="P7" s="78"/>
      <x:c r="Q7" s="78"/>
      <x:c r="R7" s="78"/>
    </x:row>
    <x:row r="8" ht="38" customHeight="1">
      <x:c r="A8" s="81" t="str">
        <x:v>Contribuição/conta</x:v>
      </x:c>
      <x:c r="B8" s="82" t="n">
        <x:f>Unit_Economics!B9</x:f>
        <x:v>151.225274227</x:v>
      </x:c>
      <x:c r="C8" s="81" t="str">
        <x:v>&gt; R$140</x:v>
      </x:c>
      <x:c r="D8" s="81" t="str">
        <x:v>Após tributo assumido de 10,5%</x:v>
      </x:c>
      <x:c r="E8" s="78"/>
      <x:c r="F8" s="83" t="str">
        <x:v>4. Asaas para billing SaaS em conta separada; cartão recorrente padrão, Pix/boleto fallback.</x:v>
      </x:c>
      <x:c r="G8" s="83"/>
      <x:c r="H8" s="83"/>
      <x:c r="I8" s="83"/>
      <x:c r="J8" s="83"/>
      <x:c r="K8" s="83"/>
      <x:c r="L8" s="78"/>
      <x:c r="M8" s="78"/>
      <x:c r="N8" s="78"/>
      <x:c r="O8" s="78"/>
      <x:c r="P8" s="78"/>
      <x:c r="Q8" s="78"/>
      <x:c r="R8" s="78"/>
    </x:row>
    <x:row r="9" ht="38" customHeight="1">
      <x:c r="A9" s="81" t="str">
        <x:v>LTV/CAC</x:v>
      </x:c>
      <x:c r="B9" s="85" t="n">
        <x:f>Unit_Economics!B13</x:f>
        <x:v>12.81964994274074</x:v>
      </x:c>
      <x:c r="C9" s="81" t="str">
        <x:v>≥3x</x:v>
      </x:c>
      <x:c r="D9" s="81" t="str">
        <x:v>Base é cenário, não histórico</x:v>
      </x:c>
      <x:c r="E9" s="78"/>
      <x:c r="F9" s="83" t="str">
        <x:v>5. Trial de 14 dias sem cartão, orientado ao primeiro contrato e primeira cobrança.</x:v>
      </x:c>
      <x:c r="G9" s="83"/>
      <x:c r="H9" s="83"/>
      <x:c r="I9" s="83"/>
      <x:c r="J9" s="83"/>
      <x:c r="K9" s="83"/>
      <x:c r="L9" s="78"/>
      <x:c r="M9" s="78"/>
      <x:c r="N9" s="78"/>
      <x:c r="O9" s="78"/>
      <x:c r="P9" s="78"/>
      <x:c r="Q9" s="78"/>
      <x:c r="R9" s="78"/>
    </x:row>
    <x:row r="10" ht="38" customHeight="1">
      <x:c r="A10" s="81" t="str">
        <x:v>Payback</x:v>
      </x:c>
      <x:c r="B10" s="86" t="n">
        <x:f>Unit_Economics!B14</x:f>
        <x:v>2.9756930665208627</x:v>
      </x:c>
      <x:c r="C10" s="81" t="str">
        <x:v>&lt;12 meses</x:v>
      </x:c>
      <x:c r="D10" s="81" t="str">
        <x:v>Base estimada abaixo de 4 meses</x:v>
      </x:c>
      <x:c r="E10" s="78"/>
      <x:c r="F10" s="83" t="str">
        <x:v>6. Não escalar mídia paga antes de ativação, cobrança, observabilidade e churn reais.</x:v>
      </x:c>
      <x:c r="G10" s="83"/>
      <x:c r="H10" s="83"/>
      <x:c r="I10" s="83"/>
      <x:c r="J10" s="83"/>
      <x:c r="K10" s="83"/>
      <x:c r="L10" s="78"/>
      <x:c r="M10" s="78"/>
      <x:c r="N10" s="78"/>
      <x:c r="O10" s="78"/>
      <x:c r="P10" s="78"/>
      <x:c r="Q10" s="78"/>
      <x:c r="R10" s="78"/>
    </x:row>
    <x:row r="11">
      <x:c r="A11" s="81" t="str">
        <x:v>Break-even base</x:v>
      </x:c>
      <x:c r="B11" s="87" t="n">
        <x:f>Unit_Economics!B17</x:f>
        <x:v>166</x:v>
      </x:c>
      <x:c r="C11" s="81" t="str">
        <x:v>~166 contas</x:v>
      </x:c>
      <x:c r="D11" s="81" t="str">
        <x:v>Sem aquisição incremental do mês</x:v>
      </x:c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</x:row>
    <x:row r="12">
      <x:c r="A12" s="81" t="str">
        <x:v>Break-even MRR base</x:v>
      </x:c>
      <x:c r="B12" s="82" t="n">
        <x:f>Unit_Economics!B19</x:f>
        <x:v>34528</x:v>
      </x:c>
      <x:c r="C12" s="81" t="str">
        <x:v>~R$34,5 mil</x:v>
      </x:c>
      <x:c r="D12" s="81" t="str">
        <x:v>Envelope Opex base</x:v>
      </x:c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</x:row>
    <x:row r="13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</x:row>
    <x:row r="14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</x:row>
    <x:row r="18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</x:row>
    <x:row r="19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111" t="str">
        <x:v>Contas</x:v>
      </x:c>
      <x:c r="O32" s="111" t="str">
        <x:v>MRR</x:v>
      </x:c>
      <x:c r="P32" s="111"/>
      <x:c r="Q32" s="111" t="str">
        <x:v>Contas</x:v>
      </x:c>
      <x:c r="R32" s="111" t="str">
        <x:v>Margem</x:v>
      </x:c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111" t="n">
        <x:f>Escala!A5</x:f>
        <x:v>10</x:v>
      </x:c>
      <x:c r="O33" s="111" t="n">
        <x:f>Escala!C5</x:f>
        <x:v>2080</x:v>
      </x:c>
      <x:c r="P33" s="111"/>
      <x:c r="Q33" s="111" t="n">
        <x:f>Escala!A5</x:f>
        <x:v>10</x:v>
      </x:c>
      <x:c r="R33" s="111" t="n">
        <x:f>Escala!J5</x:f>
        <x:v>0.7203234337836538</x:v>
      </x:c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111" t="n">
        <x:f>Escala!A6</x:f>
        <x:v>50</x:v>
      </x:c>
      <x:c r="O34" s="111" t="n">
        <x:f>Escala!C6</x:f>
        <x:v>10400</x:v>
      </x:c>
      <x:c r="P34" s="111"/>
      <x:c r="Q34" s="111" t="n">
        <x:f>Escala!A6</x:f>
        <x:v>50</x:v>
      </x:c>
      <x:c r="R34" s="111" t="n">
        <x:f>Escala!J6</x:f>
        <x:v>0.8097003568605768</x:v>
      </x:c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111" t="n">
        <x:f>Escala!A7</x:f>
        <x:v>100</x:v>
      </x:c>
      <x:c r="O35" s="111" t="n">
        <x:f>Escala!C7</x:f>
        <x:v>20800</x:v>
      </x:c>
      <x:c r="P35" s="111"/>
      <x:c r="Q35" s="111" t="n">
        <x:f>Escala!A7</x:f>
        <x:v>100</x:v>
      </x:c>
      <x:c r="R35" s="111" t="n">
        <x:f>Escala!J7</x:f>
        <x:v>0.8208724722451923</x:v>
      </x:c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111" t="n">
        <x:f>Escala!A8</x:f>
        <x:v>250</x:v>
      </x:c>
      <x:c r="O36" s="111" t="n">
        <x:f>Escala!C8</x:f>
        <x:v>52000</x:v>
      </x:c>
      <x:c r="P36" s="111"/>
      <x:c r="Q36" s="111" t="n">
        <x:f>Escala!A8</x:f>
        <x:v>250</x:v>
      </x:c>
      <x:c r="R36" s="111" t="n">
        <x:f>Escala!J8</x:f>
        <x:v>0.8275757414759616</x:v>
      </x:c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111" t="n">
        <x:f>Escala!A9</x:f>
        <x:v>500</x:v>
      </x:c>
      <x:c r="O37" s="111" t="n">
        <x:f>Escala!C9</x:f>
        <x:v>104000</x:v>
      </x:c>
      <x:c r="P37" s="111"/>
      <x:c r="Q37" s="111" t="n">
        <x:f>Escala!A9</x:f>
        <x:v>500</x:v>
      </x:c>
      <x:c r="R37" s="111" t="n">
        <x:f>Escala!J9</x:f>
        <x:v>0.8298101645528847</x:v>
      </x:c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111" t="n">
        <x:f>Escala!A10</x:f>
        <x:v>1000</x:v>
      </x:c>
      <x:c r="O38" s="111" t="n">
        <x:f>Escala!C10</x:f>
        <x:v>208000</x:v>
      </x:c>
      <x:c r="P38" s="111"/>
      <x:c r="Q38" s="111" t="n">
        <x:f>Escala!A10</x:f>
        <x:v>1000</x:v>
      </x:c>
      <x:c r="R38" s="111" t="n">
        <x:f>Escala!J10</x:f>
        <x:v>0.8309273760913463</x:v>
      </x:c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111" t="n">
        <x:f>Escala!A11</x:f>
        <x:v>5000</x:v>
      </x:c>
      <x:c r="O39" s="111" t="n">
        <x:f>Escala!C11</x:f>
        <x:v>1040000</x:v>
      </x:c>
      <x:c r="P39" s="111"/>
      <x:c r="Q39" s="111" t="n">
        <x:f>Escala!A11</x:f>
        <x:v>5000</x:v>
      </x:c>
      <x:c r="R39" s="111" t="n">
        <x:f>Escala!J11</x:f>
        <x:v>0.8318211453221154</x:v>
      </x:c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111" t="n">
        <x:f>Escala!A12</x:f>
        <x:v>10000</x:v>
      </x:c>
      <x:c r="O40" s="111" t="n">
        <x:f>Escala!C12</x:f>
        <x:v>2080000</x:v>
      </x:c>
      <x:c r="P40" s="111"/>
      <x:c r="Q40" s="111" t="n">
        <x:f>Escala!A12</x:f>
        <x:v>10000</x:v>
      </x:c>
      <x:c r="R40" s="111" t="n">
        <x:f>Escala!J12</x:f>
        <x:v>0.8319328664759615</x:v>
      </x:c>
    </x:row>
  </x:sheetData>
  <x:mergeCells>
    <x:mergeCell ref="A1:P1"/>
    <x:mergeCell ref="A2:P2"/>
    <x:mergeCell ref="F4:K4"/>
    <x:mergeCell ref="F5:K5"/>
    <x:mergeCell ref="F6:K6"/>
    <x:mergeCell ref="F7:K7"/>
    <x:mergeCell ref="F8:K8"/>
    <x:mergeCell ref="F9:K9"/>
    <x:mergeCell ref="F10:K10"/>
  </x:mergeCells>
  <x:pageMargins left="0.7" right="0.7" top="0.75" bottom="0.75" header="0.3" footer="0.3"/>
  <x:drawing xmlns:r="http://schemas.openxmlformats.org/officeDocument/2006/relationships" r:id="Rd51449cd8cc3434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5" hidden="0" customWidth="1"/>
    <x:col min="4" max="4" width="17" hidden="0" customWidth="1"/>
    <x:col min="5" max="5" width="16" hidden="0" customWidth="1"/>
    <x:col min="6" max="6" width="45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Premissas editáveis</x:v>
      </x:c>
      <x:c r="B1" s="78"/>
      <x:c r="C1" s="78"/>
      <x:c r="D1" s="78"/>
      <x:c r="E1" s="78"/>
      <x:c r="F1" s="78"/>
      <x:c r="G1" s="78"/>
      <x:c r="H1" s="78"/>
    </x:row>
    <x:row r="2" ht="26" customHeight="1">
      <x:c r="A2" s="79" t="str">
        <x:v>Amarelo = input. Verde = fórmula. Valores sem histórico estão marcados como ASSUMIDO.</x:v>
      </x:c>
      <x:c r="B2" s="78"/>
      <x:c r="C2" s="78"/>
      <x:c r="D2" s="78"/>
      <x:c r="E2" s="78"/>
      <x:c r="F2" s="78"/>
      <x:c r="G2" s="78"/>
      <x:c r="H2" s="78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 ht="24" customHeight="1">
      <x:c r="A4" s="80" t="str">
        <x:v>ID</x:v>
      </x:c>
      <x:c r="B4" s="80" t="str">
        <x:v>Premissa</x:v>
      </x:c>
      <x:c r="C4" s="80" t="str">
        <x:v>Valor</x:v>
      </x:c>
      <x:c r="D4" s="80" t="str">
        <x:v>Unidade</x:v>
      </x:c>
      <x:c r="E4" s="80" t="str">
        <x:v>Classificação</x:v>
      </x:c>
      <x:c r="F4" s="80" t="str">
        <x:v>Fonte/nota</x:v>
      </x:c>
      <x:c r="G4" s="80" t="str">
        <x:v>Confiança</x:v>
      </x:c>
      <x:c r="H4" s="80" t="str">
        <x:v>Última consulta</x:v>
      </x:c>
    </x:row>
    <x:row r="5">
      <x:c r="A5" s="81" t="str">
        <x:v>PTAX_USD_BRL</x:v>
      </x:c>
      <x:c r="B5" s="81" t="str">
        <x:v>PTAX venda USD/BRL</x:v>
      </x:c>
      <x:c r="C5" s="89" t="n">
        <x:v>5.1639</x:v>
      </x:c>
      <x:c r="D5" s="81" t="str">
        <x:v>BRL/USD</x:v>
      </x:c>
      <x:c r="E5" s="81" t="str">
        <x:v>CONFIRMADO</x:v>
      </x:c>
      <x:c r="F5" s="81" t="str">
        <x:v>BCB PTAX</x:v>
      </x:c>
      <x:c r="G5" s="81" t="str">
        <x:v>Alta</x:v>
      </x:c>
      <x:c r="H5" s="81" t="str">
        <x:v>12/08/2026</x:v>
      </x:c>
    </x:row>
    <x:row r="6">
      <x:c r="A6" s="81" t="str">
        <x:v>SUPABASE_BASE_USD</x:v>
      </x:c>
      <x:c r="B6" s="81" t="str">
        <x:v>Supabase Pro</x:v>
      </x:c>
      <x:c r="C6" s="89" t="n">
        <x:v>25</x:v>
      </x:c>
      <x:c r="D6" s="81" t="str">
        <x:v>USD/mês</x:v>
      </x:c>
      <x:c r="E6" s="81" t="str">
        <x:v>CONFIRMADO</x:v>
      </x:c>
      <x:c r="F6" s="81" t="str">
        <x:v>Plano Pro, primeiro projeto</x:v>
      </x:c>
      <x:c r="G6" s="81" t="str">
        <x:v>Alta</x:v>
      </x:c>
      <x:c r="H6" s="81" t="str">
        <x:v>12/08/2026</x:v>
      </x:c>
    </x:row>
    <x:row r="7">
      <x:c r="A7" s="81" t="str">
        <x:v>VERCEL_BASE_USD</x:v>
      </x:c>
      <x:c r="B7" s="81" t="str">
        <x:v>Vercel Pro</x:v>
      </x:c>
      <x:c r="C7" s="89" t="n">
        <x:v>20</x:v>
      </x:c>
      <x:c r="D7" s="81" t="str">
        <x:v>USD/mês</x:v>
      </x:c>
      <x:c r="E7" s="81" t="str">
        <x:v>CONFIRMADO</x:v>
      </x:c>
      <x:c r="F7" s="81" t="str">
        <x:v>Platform fee com 1 seat</x:v>
      </x:c>
      <x:c r="G7" s="81" t="str">
        <x:v>Alta</x:v>
      </x:c>
      <x:c r="H7" s="81" t="str">
        <x:v>12/08/2026</x:v>
      </x:c>
    </x:row>
    <x:row r="8">
      <x:c r="A8" s="81" t="str">
        <x:v>GEMINI_INPUT_USD</x:v>
      </x:c>
      <x:c r="B8" s="81" t="str">
        <x:v>Gemini 2.5 Flash input</x:v>
      </x:c>
      <x:c r="C8" s="89" t="n">
        <x:v>0.3</x:v>
      </x:c>
      <x:c r="D8" s="81" t="str">
        <x:v>USD/1M tokens</x:v>
      </x:c>
      <x:c r="E8" s="81" t="str">
        <x:v>CONFIRMADO</x:v>
      </x:c>
      <x:c r="F8" s="81" t="str">
        <x:v>Text/image/video</x:v>
      </x:c>
      <x:c r="G8" s="81" t="str">
        <x:v>Alta</x:v>
      </x:c>
      <x:c r="H8" s="81" t="str">
        <x:v>12/08/2026</x:v>
      </x:c>
    </x:row>
    <x:row r="9">
      <x:c r="A9" s="81" t="str">
        <x:v>GEMINI_OUTPUT_USD</x:v>
      </x:c>
      <x:c r="B9" s="81" t="str">
        <x:v>Gemini 2.5 Flash output</x:v>
      </x:c>
      <x:c r="C9" s="89" t="n">
        <x:v>2.5</x:v>
      </x:c>
      <x:c r="D9" s="81" t="str">
        <x:v>USD/1M tokens</x:v>
      </x:c>
      <x:c r="E9" s="81" t="str">
        <x:v>CONFIRMADO</x:v>
      </x:c>
      <x:c r="F9" s="81" t="str">
        <x:v>Inclui thinking</x:v>
      </x:c>
      <x:c r="G9" s="81" t="str">
        <x:v>Alta</x:v>
      </x:c>
      <x:c r="H9" s="81" t="str">
        <x:v>12/08/2026</x:v>
      </x:c>
    </x:row>
    <x:row r="10">
      <x:c r="A10" s="81" t="str">
        <x:v>SUPABASE_STORAGE_USD</x:v>
      </x:c>
      <x:c r="B10" s="81" t="str">
        <x:v>Supabase storage excedente</x:v>
      </x:c>
      <x:c r="C10" s="89" t="n">
        <x:v>0.0213</x:v>
      </x:c>
      <x:c r="D10" s="81" t="str">
        <x:v>USD/GB-mês</x:v>
      </x:c>
      <x:c r="E10" s="81" t="str">
        <x:v>CONFIRMADO</x:v>
      </x:c>
      <x:c r="F10" s="81" t="str">
        <x:v>Após franquia</x:v>
      </x:c>
      <x:c r="G10" s="81" t="str">
        <x:v>Alta</x:v>
      </x:c>
      <x:c r="H10" s="81" t="str">
        <x:v>12/08/2026</x:v>
      </x:c>
    </x:row>
    <x:row r="11">
      <x:c r="A11" s="81" t="str">
        <x:v>ASAAS_CARD_PCT</x:v>
      </x:c>
      <x:c r="B11" s="81" t="str">
        <x:v>Asaas cartão à vista padrão</x:v>
      </x:c>
      <x:c r="C11" s="90" t="n">
        <x:v>0.0299</x:v>
      </x:c>
      <x:c r="D11" s="81" t="str">
        <x:v>% receita</x:v>
      </x:c>
      <x:c r="E11" s="81" t="str">
        <x:v>CONFIRMADO</x:v>
      </x:c>
      <x:c r="F11" s="81" t="str">
        <x:v>Taxa padrão; campanha temporária ignorada</x:v>
      </x:c>
      <x:c r="G11" s="81" t="str">
        <x:v>Alta</x:v>
      </x:c>
      <x:c r="H11" s="81" t="str">
        <x:v>12/08/2026</x:v>
      </x:c>
    </x:row>
    <x:row r="12">
      <x:c r="A12" s="81" t="str">
        <x:v>ASAAS_CARD_FIXED</x:v>
      </x:c>
      <x:c r="B12" s="81" t="str">
        <x:v>Asaas fixo por cartão</x:v>
      </x:c>
      <x:c r="C12" s="89" t="n">
        <x:v>0.49</x:v>
      </x:c>
      <x:c r="D12" s="81" t="str">
        <x:v>BRL/transação</x:v>
      </x:c>
      <x:c r="E12" s="81" t="str">
        <x:v>CONFIRMADO</x:v>
      </x:c>
      <x:c r="F12" s="81" t="str">
        <x:v>Taxa padrão</x:v>
      </x:c>
      <x:c r="G12" s="81" t="str">
        <x:v>Alta</x:v>
      </x:c>
      <x:c r="H12" s="81" t="str">
        <x:v>12/08/2026</x:v>
      </x:c>
    </x:row>
    <x:row r="13">
      <x:c r="A13" s="81" t="str">
        <x:v>ASAAS_PIX_BOLETO</x:v>
      </x:c>
      <x:c r="B13" s="81" t="str">
        <x:v>Asaas Pix/boleto recebido</x:v>
      </x:c>
      <x:c r="C13" s="89" t="n">
        <x:v>1.99</x:v>
      </x:c>
      <x:c r="D13" s="81" t="str">
        <x:v>BRL/transação</x:v>
      </x:c>
      <x:c r="E13" s="81" t="str">
        <x:v>CONFIRMADO</x:v>
      </x:c>
      <x:c r="F13" s="81" t="str">
        <x:v>Taxa padrão; promoção ignorada</x:v>
      </x:c>
      <x:c r="G13" s="81" t="str">
        <x:v>Alta</x:v>
      </x:c>
      <x:c r="H13" s="81" t="str">
        <x:v>12/08/2026</x:v>
      </x:c>
    </x:row>
    <x:row r="14">
      <x:c r="A14" s="81" t="str">
        <x:v>MIX_CARD</x:v>
      </x:c>
      <x:c r="B14" s="81" t="str">
        <x:v>Mix de recebimento em cartão</x:v>
      </x:c>
      <x:c r="C14" s="90" t="n">
        <x:v>0.75</x:v>
      </x:c>
      <x:c r="D14" s="81" t="str">
        <x:v>% contas</x:v>
      </x:c>
      <x:c r="E14" s="81" t="str">
        <x:v>ASSUMIDO</x:v>
      </x:c>
      <x:c r="F14" s="81" t="str">
        <x:v>Editar após dados reais</x:v>
      </x:c>
      <x:c r="G14" s="81" t="str">
        <x:v>Baixa</x:v>
      </x:c>
      <x:c r="H14" s="81" t="str">
        <x:v>12/08/2026</x:v>
      </x:c>
    </x:row>
    <x:row r="15">
      <x:c r="A15" s="81" t="str">
        <x:v>MIX_PIX_BOLETO</x:v>
      </x:c>
      <x:c r="B15" s="81" t="str">
        <x:v>Mix de Pix/boleto</x:v>
      </x:c>
      <x:c r="C15" s="90" t="n">
        <x:v>0.25</x:v>
      </x:c>
      <x:c r="D15" s="81" t="str">
        <x:v>% contas</x:v>
      </x:c>
      <x:c r="E15" s="81" t="str">
        <x:v>ASSUMIDO</x:v>
      </x:c>
      <x:c r="F15" s="81" t="str">
        <x:v>Editar após dados reais</x:v>
      </x:c>
      <x:c r="G15" s="81" t="str">
        <x:v>Baixa</x:v>
      </x:c>
      <x:c r="H15" s="81" t="str">
        <x:v>12/08/2026</x:v>
      </x:c>
    </x:row>
    <x:row r="16">
      <x:c r="A16" s="81" t="str">
        <x:v>TAX_BASE</x:v>
      </x:c>
      <x:c r="B16" s="81" t="str">
        <x:v>Tributos sobre receita — cenário base</x:v>
      </x:c>
      <x:c r="C16" s="90" t="n">
        <x:v>0.105</x:v>
      </x:c>
      <x:c r="D16" s="81" t="str">
        <x:v>% receita</x:v>
      </x:c>
      <x:c r="E16" s="81" t="str">
        <x:v>ASSUMIDO</x:v>
      </x:c>
      <x:c r="F16" s="81" t="str">
        <x:v>Validar com contador e regime fiscal</x:v>
      </x:c>
      <x:c r="G16" s="81" t="str">
        <x:v>Baixa</x:v>
      </x:c>
      <x:c r="H16" s="81" t="str">
        <x:v>12/08/2026</x:v>
      </x:c>
    </x:row>
    <x:row r="17">
      <x:c r="A17" s="81" t="str">
        <x:v>TAX_LOW</x:v>
      </x:c>
      <x:c r="B17" s="81" t="str">
        <x:v>Tributos — cenário enxuto</x:v>
      </x:c>
      <x:c r="C17" s="90" t="n">
        <x:v>0.06</x:v>
      </x:c>
      <x:c r="D17" s="81" t="str">
        <x:v>% receita</x:v>
      </x:c>
      <x:c r="E17" s="81" t="str">
        <x:v>ASSUMIDO</x:v>
      </x:c>
      <x:c r="F17" s="81" t="str">
        <x:v>Envelope ilustrativo</x:v>
      </x:c>
      <x:c r="G17" s="81" t="str">
        <x:v>Baixa</x:v>
      </x:c>
      <x:c r="H17" s="81" t="str">
        <x:v>12/08/2026</x:v>
      </x:c>
    </x:row>
    <x:row r="18">
      <x:c r="A18" s="81" t="str">
        <x:v>TAX_HIGH</x:v>
      </x:c>
      <x:c r="B18" s="81" t="str">
        <x:v>Tributos — cenário alto</x:v>
      </x:c>
      <x:c r="C18" s="90" t="n">
        <x:v>0.155</x:v>
      </x:c>
      <x:c r="D18" s="81" t="str">
        <x:v>% receita</x:v>
      </x:c>
      <x:c r="E18" s="81" t="str">
        <x:v>ASSUMIDO</x:v>
      </x:c>
      <x:c r="F18" s="81" t="str">
        <x:v>Envelope ilustrativo</x:v>
      </x:c>
      <x:c r="G18" s="81" t="str">
        <x:v>Baixa</x:v>
      </x:c>
      <x:c r="H18" s="81" t="str">
        <x:v>12/08/2026</x:v>
      </x:c>
    </x:row>
    <x:row r="19">
      <x:c r="A19" s="81" t="str">
        <x:v>SUPPORT_COST_MIN</x:v>
      </x:c>
      <x:c r="B19" s="81" t="str">
        <x:v>Custo alocado de suporte</x:v>
      </x:c>
      <x:c r="C19" s="89" t="n">
        <x:v>0.6</x:v>
      </x:c>
      <x:c r="D19" s="81" t="str">
        <x:v>BRL/minuto</x:v>
      </x:c>
      <x:c r="E19" s="81" t="str">
        <x:v>ASSUMIDO</x:v>
      </x:c>
      <x:c r="F19" s="81" t="str">
        <x:v>Tempo do fundador/equipe convertido em custo</x:v>
      </x:c>
      <x:c r="G19" s="81" t="str">
        <x:v>Baixa</x:v>
      </x:c>
      <x:c r="H19" s="81" t="str">
        <x:v>12/08/2026</x:v>
      </x:c>
    </x:row>
    <x:row r="20">
      <x:c r="A20" s="81" t="str">
        <x:v>FIXED_TECH_BRL</x:v>
      </x:c>
      <x:c r="B20" s="81" t="str">
        <x:v>Tecnologia fixa mensal</x:v>
      </x:c>
      <x:c r="C20" s="89" t="n">
        <x:v>232.38</x:v>
      </x:c>
      <x:c r="D20" s="81" t="str">
        <x:v>BRL/mês</x:v>
      </x:c>
      <x:c r="E20" s="81" t="str">
        <x:v>ESTIMADO</x:v>
      </x:c>
      <x:c r="F20" s="81" t="str">
        <x:v>(US$25+US$20) × PTAX</x:v>
      </x:c>
      <x:c r="G20" s="81" t="str">
        <x:v>Média</x:v>
      </x:c>
      <x:c r="H20" s="81" t="str">
        <x:v>12/08/2026</x:v>
      </x:c>
    </x:row>
    <x:row r="21">
      <x:c r="A21" s="81" t="str">
        <x:v>OPEX_LEAN</x:v>
      </x:c>
      <x:c r="B21" s="81" t="str">
        <x:v>Envelope operacional enxuto</x:v>
      </x:c>
      <x:c r="C21" s="89" t="n">
        <x:v>8000</x:v>
      </x:c>
      <x:c r="D21" s="81" t="str">
        <x:v>BRL/mês</x:v>
      </x:c>
      <x:c r="E21" s="81" t="str">
        <x:v>ASSUMIDO</x:v>
      </x:c>
      <x:c r="F21" s="81" t="str">
        <x:v>Pró-labore + ferramentas + operação mínima</x:v>
      </x:c>
      <x:c r="G21" s="81" t="str">
        <x:v>Baixa</x:v>
      </x:c>
      <x:c r="H21" s="81" t="str">
        <x:v>12/08/2026</x:v>
      </x:c>
    </x:row>
    <x:row r="22">
      <x:c r="A22" s="81" t="str">
        <x:v>OPEX_BASE</x:v>
      </x:c>
      <x:c r="B22" s="81" t="str">
        <x:v>Envelope operacional base</x:v>
      </x:c>
      <x:c r="C22" s="89" t="n">
        <x:v>25000</x:v>
      </x:c>
      <x:c r="D22" s="81" t="str">
        <x:v>BRL/mês</x:v>
      </x:c>
      <x:c r="E22" s="81" t="str">
        <x:v>ASSUMIDO</x:v>
      </x:c>
      <x:c r="F22" s="81" t="str">
        <x:v>Operação comercial e suporte inicial</x:v>
      </x:c>
      <x:c r="G22" s="81" t="str">
        <x:v>Baixa</x:v>
      </x:c>
      <x:c r="H22" s="81" t="str">
        <x:v>12/08/2026</x:v>
      </x:c>
    </x:row>
    <x:row r="23">
      <x:c r="A23" s="81" t="str">
        <x:v>OPEX_GROWTH</x:v>
      </x:c>
      <x:c r="B23" s="81" t="str">
        <x:v>Envelope operacional crescimento</x:v>
      </x:c>
      <x:c r="C23" s="89" t="n">
        <x:v>60000</x:v>
      </x:c>
      <x:c r="D23" s="81" t="str">
        <x:v>BRL/mês</x:v>
      </x:c>
      <x:c r="E23" s="81" t="str">
        <x:v>ASSUMIDO</x:v>
      </x:c>
      <x:c r="F23" s="81" t="str">
        <x:v>Equipe e aquisição em escala</x:v>
      </x:c>
      <x:c r="G23" s="81" t="str">
        <x:v>Baixa</x:v>
      </x:c>
      <x:c r="H23" s="81" t="str">
        <x:v>12/08/2026</x:v>
      </x:c>
    </x:row>
    <x:row r="24">
      <x:c r="A24" s="81" t="str">
        <x:v>CAC_BASE</x:v>
      </x:c>
      <x:c r="B24" s="81" t="str">
        <x:v>CAC base</x:v>
      </x:c>
      <x:c r="C24" s="89" t="n">
        <x:v>450</x:v>
      </x:c>
      <x:c r="D24" s="81" t="str">
        <x:v>BRL/conta</x:v>
      </x:c>
      <x:c r="E24" s="81" t="str">
        <x:v>ASSUMIDO</x:v>
      </x:c>
      <x:c r="F24" s="81" t="str">
        <x:v>Sem histórico; alvo para teste</x:v>
      </x:c>
      <x:c r="G24" s="81" t="str">
        <x:v>Baixa</x:v>
      </x:c>
      <x:c r="H24" s="81" t="str">
        <x:v>12/08/2026</x:v>
      </x:c>
    </x:row>
    <x:row r="25">
      <x:c r="A25" s="81" t="str">
        <x:v>CHURN_BASE</x:v>
      </x:c>
      <x:c r="B25" s="81" t="str">
        <x:v>Churn mensal base</x:v>
      </x:c>
      <x:c r="C25" s="90" t="n">
        <x:v>0.03</x:v>
      </x:c>
      <x:c r="D25" s="81" t="str">
        <x:v>% contas</x:v>
      </x:c>
      <x:c r="E25" s="81" t="str">
        <x:v>ASSUMIDO</x:v>
      </x:c>
      <x:c r="F25" s="81" t="str">
        <x:v>Sem histórico; faixa para stress</x:v>
      </x:c>
      <x:c r="G25" s="81" t="str">
        <x:v>Baixa</x:v>
      </x:c>
      <x:c r="H25" s="81" t="str">
        <x:v>12/08/2026</x:v>
      </x:c>
    </x:row>
    <x:row r="26">
      <x:c r="A26" s="81" t="str">
        <x:v>GM_TARGET</x:v>
      </x:c>
      <x:c r="B26" s="81" t="str">
        <x:v>Margem bruta-alvo</x:v>
      </x:c>
      <x:c r="C26" s="90" t="n">
        <x:v>0.8</x:v>
      </x:c>
      <x:c r="D26" s="81" t="str">
        <x:v>%</x:v>
      </x:c>
      <x:c r="E26" s="81" t="str">
        <x:v>ASSUMIDO</x:v>
      </x:c>
      <x:c r="F26" s="81" t="str">
        <x:v>Guardrail SaaS vertical</x:v>
      </x:c>
      <x:c r="G26" s="81" t="str">
        <x:v>Média</x:v>
      </x:c>
      <x:c r="H26" s="81" t="str">
        <x:v>12/08/2026</x:v>
      </x:c>
    </x:row>
    <x:row r="27">
      <x:c r="A27" s="81" t="str">
        <x:v>ARPA_RECOMMENDED</x:v>
      </x:c>
      <x:c r="B27" s="81" t="str">
        <x:v>ARPA recomendado pelo mix base</x:v>
      </x:c>
      <x:c r="C27" s="89" t="n">
        <x:v>208</x:v>
      </x:c>
      <x:c r="D27" s="81" t="str">
        <x:v>BRL/mês</x:v>
      </x:c>
      <x:c r="E27" s="81" t="str">
        <x:v>ESTIMADO</x:v>
      </x:c>
      <x:c r="F27" s="81" t="str">
        <x:v>Mix 55%/35%/10% × R$129/R$249/R$499</x:v>
      </x:c>
      <x:c r="G27" s="81" t="str">
        <x:v>Média</x:v>
      </x:c>
      <x:c r="H27" s="81" t="str">
        <x:v>12/08/2026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c55c81128187478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0" hidden="0" customWidth="1"/>
  </x:cols>
  <x:sheetData>
    <x:row r="1" ht="34" customHeight="1">
      <x:c r="A1" s="88" t="str">
        <x:v>Planos atualmente codificados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</x:row>
    <x:row r="2" ht="26" customHeight="1">
      <x:c r="A2" s="79" t="str">
        <x:v>Hipótese implementada em migration e plansData; checkout SaaS continua mock e a página está fora das rotas.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</x:row>
    <x:row r="4" ht="24" customHeight="1">
      <x:c r="A4" s="80" t="str">
        <x:v>Plano</x:v>
      </x:c>
      <x:c r="B4" s="80" t="str">
        <x:v>Mensal</x:v>
      </x:c>
      <x:c r="C4" s="80" t="str">
        <x:v>Anual</x:v>
      </x:c>
      <x:c r="D4" s="80" t="str">
        <x:v>Desc. anual</x:v>
      </x:c>
      <x:c r="E4" s="80" t="str">
        <x:v>Usuários</x:v>
      </x:c>
      <x:c r="F4" s="80" t="str">
        <x:v>Imóveis</x:v>
      </x:c>
      <x:c r="G4" s="80" t="str">
        <x:v>Fachadas</x:v>
      </x:c>
      <x:c r="H4" s="80" t="str">
        <x:v>Contratos IA</x:v>
      </x:c>
      <x:c r="I4" s="80" t="str">
        <x:v>Assistente IA</x:v>
      </x:c>
      <x:c r="J4" s="80" t="str">
        <x:v>Storage GB</x:v>
      </x:c>
      <x:c r="K4" s="80" t="str">
        <x:v>Locação</x:v>
      </x:c>
      <x:c r="L4" s="80" t="str">
        <x:v>Asaas</x:v>
      </x:c>
      <x:c r="M4" s="80" t="str">
        <x:v>Equipe</x:v>
      </x:c>
      <x:c r="N4" s="80" t="str">
        <x:v>Trial dias</x:v>
      </x:c>
      <x:c r="O4" s="80" t="str">
        <x:v>Status comercial</x:v>
      </x:c>
    </x:row>
    <x:row r="5">
      <x:c r="A5" s="81" t="str">
        <x:v>Essencial</x:v>
      </x:c>
      <x:c r="B5" s="91" t="n">
        <x:v>99</x:v>
      </x:c>
      <x:c r="C5" s="91" t="n">
        <x:v>990</x:v>
      </x:c>
      <x:c r="D5" s="92" t="n">
        <x:v>0.1667</x:v>
      </x:c>
      <x:c r="E5" s="81" t="n">
        <x:v>1</x:v>
      </x:c>
      <x:c r="F5" s="81" t="n">
        <x:v>100</x:v>
      </x:c>
      <x:c r="G5" s="81" t="n">
        <x:v>5</x:v>
      </x:c>
      <x:c r="H5" s="81" t="n">
        <x:v>10</x:v>
      </x:c>
      <x:c r="I5" s="81" t="n">
        <x:v>30</x:v>
      </x:c>
      <x:c r="J5" s="81" t="n">
        <x:v>5</x:v>
      </x:c>
      <x:c r="K5" s="81" t="str">
        <x:v>Não</x:v>
      </x:c>
      <x:c r="L5" s="81" t="str">
        <x:v>Não</x:v>
      </x:c>
      <x:c r="M5" s="81" t="str">
        <x:v>Não</x:v>
      </x:c>
      <x:c r="N5" s="81" t="n">
        <x:v>14</x:v>
      </x:c>
      <x:c r="O5" s="81" t="str">
        <x:v>Hipótese</x:v>
      </x:c>
    </x:row>
    <x:row r="6">
      <x:c r="A6" s="81" t="str">
        <x:v>Profissional</x:v>
      </x:c>
      <x:c r="B6" s="91" t="n">
        <x:v>149</x:v>
      </x:c>
      <x:c r="C6" s="91" t="n">
        <x:v>1490</x:v>
      </x:c>
      <x:c r="D6" s="92" t="n">
        <x:v>0.1667</x:v>
      </x:c>
      <x:c r="E6" s="81" t="n">
        <x:v>2</x:v>
      </x:c>
      <x:c r="F6" s="81" t="n">
        <x:v>500</x:v>
      </x:c>
      <x:c r="G6" s="81" t="n">
        <x:v>25</x:v>
      </x:c>
      <x:c r="H6" s="81" t="n">
        <x:v>60</x:v>
      </x:c>
      <x:c r="I6" s="81" t="n">
        <x:v>300</x:v>
      </x:c>
      <x:c r="J6" s="81" t="n">
        <x:v>25</x:v>
      </x:c>
      <x:c r="K6" s="81" t="str">
        <x:v>Sim</x:v>
      </x:c>
      <x:c r="L6" s="81" t="str">
        <x:v>Sim</x:v>
      </x:c>
      <x:c r="M6" s="81" t="str">
        <x:v>Não</x:v>
      </x:c>
      <x:c r="N6" s="81" t="n">
        <x:v>14</x:v>
      </x:c>
      <x:c r="O6" s="81" t="str">
        <x:v>Hipótese</x:v>
      </x:c>
    </x:row>
    <x:row r="7">
      <x:c r="A7" s="81" t="str">
        <x:v>Imobiliária</x:v>
      </x:c>
      <x:c r="B7" s="91" t="n">
        <x:v>299</x:v>
      </x:c>
      <x:c r="C7" s="91" t="n">
        <x:v>2990</x:v>
      </x:c>
      <x:c r="D7" s="92" t="n">
        <x:v>0.1667</x:v>
      </x:c>
      <x:c r="E7" s="81" t="n">
        <x:v>10</x:v>
      </x:c>
      <x:c r="F7" s="81" t="str">
        <x:v>Ilimitado</x:v>
      </x:c>
      <x:c r="G7" s="81" t="n">
        <x:v>100</x:v>
      </x:c>
      <x:c r="H7" s="81" t="n">
        <x:v>250</x:v>
      </x:c>
      <x:c r="I7" s="81" t="n">
        <x:v>1500</x:v>
      </x:c>
      <x:c r="J7" s="81" t="n">
        <x:v>100</x:v>
      </x:c>
      <x:c r="K7" s="81" t="str">
        <x:v>Sim</x:v>
      </x:c>
      <x:c r="L7" s="81" t="str">
        <x:v>Sim</x:v>
      </x:c>
      <x:c r="M7" s="81" t="str">
        <x:v>Sim</x:v>
      </x:c>
      <x:c r="N7" s="81" t="n">
        <x:v>14</x:v>
      </x:c>
      <x:c r="O7" s="81" t="str">
        <x:v>Hipótese</x:v>
      </x:c>
    </x:row>
    <x:row r="8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</x:row>
    <x:row r="9">
      <x:c r="A9" s="93" t="str">
        <x:v>Add-ons codificados</x:v>
      </x:c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</x:row>
    <x:row r="10" ht="28" customHeight="1">
      <x:c r="A10" s="94" t="str">
        <x:v>Add-on</x:v>
      </x:c>
      <x:c r="B10" s="94" t="str">
        <x:v>Preço</x:v>
      </x:c>
      <x:c r="C10" s="94" t="str">
        <x:v>Periodicidade</x:v>
      </x:c>
      <x:c r="D10" s="94" t="str">
        <x:v>Observação</x:v>
      </x:c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</x:row>
    <x:row r="11">
      <x:c r="A11" s="81" t="str">
        <x:v>Usuário adicional</x:v>
      </x:c>
      <x:c r="B11" s="91" t="n">
        <x:v>29</x:v>
      </x:c>
      <x:c r="C11" s="81" t="str">
        <x:v>mensal</x:v>
      </x:c>
      <x:c r="D11" s="81" t="str">
        <x:v>Abaixo de Vista/Kenlo; testar suporte e expansão</x:v>
      </x:c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</x:row>
    <x:row r="12">
      <x:c r="A12" s="81" t="str">
        <x:v>25 fachadas</x:v>
      </x:c>
      <x:c r="B12" s="91" t="n">
        <x:v>19</x:v>
      </x:c>
      <x:c r="C12" s="81" t="str">
        <x:v>mensal</x:v>
      </x:c>
      <x:c r="D12" s="81" t="str">
        <x:v>Margem alta, baixo custo direto</x:v>
      </x:c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</x:row>
    <x:row r="13">
      <x:c r="A13" s="81" t="str">
        <x:v>100 operações IA</x:v>
      </x:c>
      <x:c r="B13" s="91" t="n">
        <x:v>29</x:v>
      </x:c>
      <x:c r="C13" s="81" t="str">
        <x:v>mensal</x:v>
      </x:c>
      <x:c r="D13" s="81" t="str">
        <x:v>Preço exige definição de unidade/crédito</x:v>
      </x:c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</x:row>
    <x:row r="14">
      <x:c r="A14" s="81" t="str">
        <x:v>50 GB storage</x:v>
      </x:c>
      <x:c r="B14" s="91" t="n">
        <x:v>19</x:v>
      </x:c>
      <x:c r="C14" s="81" t="str">
        <x:v>mensal</x:v>
      </x:c>
      <x:c r="D14" s="81" t="str">
        <x:v>Margem alta versus storage puro</x:v>
      </x:c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</x:row>
    <x:row r="15">
      <x:c r="A15" s="81" t="str">
        <x:v>WhatsApp API</x:v>
      </x:c>
      <x:c r="B15" s="91" t="n">
        <x:v>49</x:v>
      </x:c>
      <x:c r="C15" s="81" t="str">
        <x:v>mensal + Meta</x:v>
      </x:c>
      <x:c r="D15" s="81" t="str">
        <x:v>Não tratar Meta como ilimitado</x:v>
      </x:c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</x:row>
    <x:row r="16">
      <x:c r="A16" s="81" t="str">
        <x:v>Migração/onboarding</x:v>
      </x:c>
      <x:c r="B16" s="91" t="n">
        <x:v>299</x:v>
      </x:c>
      <x:c r="C16" s="81" t="str">
        <x:v>único</x:v>
      </x:c>
      <x:c r="D16" s="81" t="str">
        <x:v>Provável subprecificação se houver trabalho humano</x:v>
      </x:c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</x:row>
    <x:row r="18" ht="56" customHeight="1">
      <x:c r="A18" s="95" t="str">
        <x:v>Conclusão: R$99/R$149/R$299 é uma hipótese de penetração — não uma decisão validada. A faixa comprime demais o valor entre planos e expõe o plano de 10 usuários a uso pesado sem overage claro.</x:v>
      </x:c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</x:row>
  </x:sheetData>
  <x:mergeCells>
    <x:mergeCell ref="A1:O1"/>
    <x:mergeCell ref="A2:O2"/>
    <x:mergeCell ref="A9:O9"/>
    <x:mergeCell ref="A18:O20"/>
  </x:mergeCells>
  <x:pageMargins left="0.7" right="0.7" top="0.75" bottom="0.75" header="0.3" footer="0.3"/>
  <x:legacyDrawing xmlns:r="http://schemas.openxmlformats.org/officeDocument/2006/relationships" r:id="R3ba9eb630a7740f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6" max="6" width="26" hidden="0" customWidth="1"/>
    <x:col min="8" max="8" width="22" hidden="0" customWidth="1"/>
    <x:col min="9" max="9" width="22" hidden="0" customWidth="1"/>
    <x:col min="10" max="10" width="22" hidden="0" customWidth="1"/>
    <x:col min="11" max="11" width="44" hidden="0" customWidth="1"/>
    <x:col min="12" max="12" width="45" hidden="0" customWidth="1"/>
  </x:cols>
  <x:sheetData>
    <x:row r="1" ht="34" customHeight="1">
      <x:c r="A1" s="88" t="str">
        <x:v>Fornecedores e COGS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6" customHeight="1">
      <x:c r="A2" s="79" t="str">
        <x:v>Custos confirmados onde públicos; preços sob consulta permanecem sob consulta.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</x:row>
    <x:row r="4" ht="24" customHeight="1">
      <x:c r="A4" s="80" t="str">
        <x:v>Fornecedor</x:v>
      </x:c>
      <x:c r="B4" s="80" t="str">
        <x:v>Uso na Lotti</x:v>
      </x:c>
      <x:c r="C4" s="80" t="str">
        <x:v>Preço base</x:v>
      </x:c>
      <x:c r="D4" s="80" t="str">
        <x:v>Moeda</x:v>
      </x:c>
      <x:c r="E4" s="80" t="str">
        <x:v>Variável</x:v>
      </x:c>
      <x:c r="F4" s="80" t="str">
        <x:v>Unidade</x:v>
      </x:c>
      <x:c r="G4" s="80" t="str">
        <x:v>Preço BRL</x:v>
      </x:c>
      <x:c r="H4" s="80" t="str">
        <x:v>Estágio</x:v>
      </x:c>
      <x:c r="I4" s="80" t="str">
        <x:v>Classificação</x:v>
      </x:c>
      <x:c r="J4" s="80" t="str">
        <x:v>Confiança</x:v>
      </x:c>
      <x:c r="K4" s="80" t="str">
        <x:v>Fonte</x:v>
      </x:c>
      <x:c r="L4" s="80" t="str">
        <x:v>Nota</x:v>
      </x:c>
    </x:row>
    <x:row r="5">
      <x:c r="A5" s="81" t="str">
        <x:v>Supabase</x:v>
      </x:c>
      <x:c r="B5" s="81" t="str">
        <x:v>DB/auth/functions/storage</x:v>
      </x:c>
      <x:c r="C5" s="96" t="n">
        <x:v>25</x:v>
      </x:c>
      <x:c r="D5" s="96" t="str">
        <x:v>USD</x:v>
      </x:c>
      <x:c r="E5" s="96" t="n">
        <x:v>0</x:v>
      </x:c>
      <x:c r="F5" s="81" t="str">
        <x:v>mês</x:v>
      </x:c>
      <x:c r="G5" s="82" t="n">
        <x:f>C5*Premissas!$C$5</x:f>
        <x:v>129.0975</x:v>
      </x:c>
      <x:c r="H5" s="81" t="str">
        <x:v>Confirmado no código</x:v>
      </x:c>
      <x:c r="I5" s="81" t="str">
        <x:v>CONFIRMADO</x:v>
      </x:c>
      <x:c r="J5" s="81" t="str">
        <x:v>Alta</x:v>
      </x:c>
      <x:c r="K5" s="81" t="str">
        <x:v>https://supabase.com/pricing</x:v>
      </x:c>
      <x:c r="L5" s="81" t="str">
        <x:v>Pro; excedentes separados</x:v>
      </x:c>
    </x:row>
    <x:row r="6">
      <x:c r="A6" s="81" t="str">
        <x:v>Vercel</x:v>
      </x:c>
      <x:c r="B6" s="81" t="str">
        <x:v>Hosting/CDN</x:v>
      </x:c>
      <x:c r="C6" s="96" t="n">
        <x:v>20</x:v>
      </x:c>
      <x:c r="D6" s="96" t="str">
        <x:v>USD</x:v>
      </x:c>
      <x:c r="E6" s="96" t="n">
        <x:v>0</x:v>
      </x:c>
      <x:c r="F6" s="81" t="str">
        <x:v>mês</x:v>
      </x:c>
      <x:c r="G6" s="82" t="n">
        <x:f>C6*Premissas!$C$5</x:f>
        <x:v>103.27799999999999</x:v>
      </x:c>
      <x:c r="H6" s="81" t="str">
        <x:v>Confirmado no código</x:v>
      </x:c>
      <x:c r="I6" s="81" t="str">
        <x:v>CONFIRMADO</x:v>
      </x:c>
      <x:c r="J6" s="81" t="str">
        <x:v>Alta</x:v>
      </x:c>
      <x:c r="K6" s="81" t="str">
        <x:v>https://vercel.com/docs/plans/pro-plan</x:v>
      </x:c>
      <x:c r="L6" s="81" t="str">
        <x:v>1 seat e US$20 de crédito</x:v>
      </x:c>
    </x:row>
    <x:row r="7">
      <x:c r="A7" s="81" t="str">
        <x:v>Gemini 2.5 Flash</x:v>
      </x:c>
      <x:c r="B7" s="81" t="str">
        <x:v>IA</x:v>
      </x:c>
      <x:c r="C7" s="96" t="n">
        <x:v>0.3</x:v>
      </x:c>
      <x:c r="D7" s="96" t="str">
        <x:v>USD</x:v>
      </x:c>
      <x:c r="E7" s="96" t="n">
        <x:v>2.5</x:v>
      </x:c>
      <x:c r="F7" s="81" t="str">
        <x:v>1M tokens input/output</x:v>
      </x:c>
      <x:c r="G7" s="82" t="n">
        <x:f>C7*Premissas!$C$5</x:f>
        <x:v>1.54917</x:v>
      </x:c>
      <x:c r="H7" s="81" t="str">
        <x:v>Confirmado no código</x:v>
      </x:c>
      <x:c r="I7" s="81" t="str">
        <x:v>CONFIRMADO</x:v>
      </x:c>
      <x:c r="J7" s="81" t="str">
        <x:v>Alta</x:v>
      </x:c>
      <x:c r="K7" s="81" t="str">
        <x:v>https://ai.google.dev/gemini-api/docs/pricing</x:v>
      </x:c>
      <x:c r="L7" s="81" t="str">
        <x:v>Uso real precisa telemetria</x:v>
      </x:c>
    </x:row>
    <x:row r="8">
      <x:c r="A8" s="81" t="str">
        <x:v>Asaas</x:v>
      </x:c>
      <x:c r="B8" s="81" t="str">
        <x:v>Cobrança de aluguel; candidato ao billing SaaS</x:v>
      </x:c>
      <x:c r="C8" s="96" t="n">
        <x:v>0.49</x:v>
      </x:c>
      <x:c r="D8" s="96" t="str">
        <x:v>BRL</x:v>
      </x:c>
      <x:c r="E8" s="96" t="n">
        <x:v>0.0299</x:v>
      </x:c>
      <x:c r="F8" s="81" t="str">
        <x:v>cartão + %</x:v>
      </x:c>
      <x:c r="G8" s="81" t="n">
        <x:v>0.49</x:v>
      </x:c>
      <x:c r="H8" s="81" t="str">
        <x:v>Operacional para aluguel</x:v>
      </x:c>
      <x:c r="I8" s="81" t="str">
        <x:v>CONFIRMADO</x:v>
      </x:c>
      <x:c r="J8" s="81" t="str">
        <x:v>Alta</x:v>
      </x:c>
      <x:c r="K8" s="81" t="str">
        <x:v>https://www.asaas.com/precos-e-taxas</x:v>
      </x:c>
      <x:c r="L8" s="81" t="str">
        <x:v>Conta SaaS deve ser separada</x:v>
      </x:c>
    </x:row>
    <x:row r="9">
      <x:c r="A9" s="81" t="str">
        <x:v>Meta WhatsApp</x:v>
      </x:c>
      <x:c r="B9" s="81" t="str">
        <x:v>Mensagens</x:v>
      </x:c>
      <x:c r="C9" s="96"/>
      <x:c r="D9" s="96" t="str">
        <x:v>USD</x:v>
      </x:c>
      <x:c r="E9" s="96"/>
      <x:c r="F9" s="81" t="str">
        <x:v>por mensagem</x:v>
      </x:c>
      <x:c r="G9" s="81" t="str">
        <x:v>Sob consulta por categoria</x:v>
      </x:c>
      <x:c r="H9" s="81" t="str">
        <x:v>Integração direta não confirmada</x:v>
      </x:c>
      <x:c r="I9" s="81" t="str">
        <x:v>NÃO ENCONTRADO</x:v>
      </x:c>
      <x:c r="J9" s="81" t="str">
        <x:v>Média</x:v>
      </x:c>
      <x:c r="K9" s="81" t="str">
        <x:v>https://whatsappbusiness.com/products/platform-pricing/</x:v>
      </x:c>
      <x:c r="L9" s="81" t="str">
        <x:v>Taxa por mensagem entregue; varia por mercado/categoria</x:v>
      </x:c>
    </x:row>
    <x:row r="10">
      <x:c r="A10" s="81" t="str">
        <x:v>UTMify</x:v>
      </x:c>
      <x:c r="B10" s="81" t="str">
        <x:v>Tracking opcional</x:v>
      </x:c>
      <x:c r="C10" s="96"/>
      <x:c r="D10" s="96" t="str">
        <x:v>BRL</x:v>
      </x:c>
      <x:c r="E10" s="96"/>
      <x:c r="F10" s="81" t="str">
        <x:v>plano</x:v>
      </x:c>
      <x:c r="G10" s="81" t="str">
        <x:v>Sob consulta</x:v>
      </x:c>
      <x:c r="H10" s="81" t="str">
        <x:v>Opcional no código</x:v>
      </x:c>
      <x:c r="I10" s="81" t="str">
        <x:v>CONFIRMADO</x:v>
      </x:c>
      <x:c r="J10" s="81" t="str">
        <x:v>Média</x:v>
      </x:c>
      <x:c r="K10" s="81" t="str">
        <x:v>https://utmify.com.br/</x:v>
      </x:c>
      <x:c r="L10" s="81" t="str">
        <x:v>Não incluído no COGS base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2" hidden="0" customWidth="1"/>
  </x:cols>
  <x:sheetData>
    <x:row r="1" ht="34" customHeight="1">
      <x:c r="A1" s="88" t="str">
        <x:v>Perfis de uso e custo por conta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</x:row>
    <x:row r="2" ht="26" customHeight="1">
      <x:c r="A2" s="79" t="str">
        <x:v>Volumes são hipóteses explícitas. Edite os inputs amarelos e veja o custo recalcular.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</x:row>
    <x:row r="4" ht="24" customHeight="1">
      <x:c r="A4" s="80" t="str">
        <x:v>Perfil</x:v>
      </x:c>
      <x:c r="B4" s="80" t="str">
        <x:v>Interações IA</x:v>
      </x:c>
      <x:c r="C4" s="80" t="str">
        <x:v>Tokens entrada/op</x:v>
      </x:c>
      <x:c r="D4" s="80" t="str">
        <x:v>Tokens saída/op</x:v>
      </x:c>
      <x:c r="E4" s="80" t="str">
        <x:v>Storage GB</x:v>
      </x:c>
      <x:c r="F4" s="80" t="str">
        <x:v>Docs/mês</x:v>
      </x:c>
      <x:c r="G4" s="80" t="str">
        <x:v>Mensagens</x:v>
      </x:c>
      <x:c r="H4" s="80" t="str">
        <x:v>% mensagens pagas</x:v>
      </x:c>
      <x:c r="I4" s="80" t="str">
        <x:v>Automações</x:v>
      </x:c>
      <x:c r="J4" s="80" t="str">
        <x:v>Suporte min</x:v>
      </x:c>
      <x:c r="K4" s="80" t="str">
        <x:v>IA BRL</x:v>
      </x:c>
      <x:c r="L4" s="80" t="str">
        <x:v>Storage BRL</x:v>
      </x:c>
      <x:c r="M4" s="80" t="str">
        <x:v>Mensagens BRL</x:v>
      </x:c>
      <x:c r="N4" s="80" t="str">
        <x:v>Suporte BRL</x:v>
      </x:c>
      <x:c r="O4" s="80" t="str">
        <x:v>Outros</x:v>
      </x:c>
      <x:c r="P4" s="80" t="str">
        <x:v>COGS variável</x:v>
      </x:c>
      <x:c r="Q4" s="80" t="str">
        <x:v>Mix base</x:v>
      </x:c>
      <x:c r="R4" s="80" t="str">
        <x:v>COGS ponderado</x:v>
      </x:c>
      <x:c r="S4" s="80" t="str">
        <x:v>Preço mínimo 80%</x:v>
      </x:c>
      <x:c r="T4" s="80" t="str">
        <x:v>Guardrail</x:v>
      </x:c>
    </x:row>
    <x:row r="5">
      <x:c r="A5" s="81" t="str">
        <x:v>Light</x:v>
      </x:c>
      <x:c r="B5" s="89" t="n">
        <x:v>40</x:v>
      </x:c>
      <x:c r="C5" s="89" t="n">
        <x:v>8000</x:v>
      </x:c>
      <x:c r="D5" s="89" t="n">
        <x:v>1000</x:v>
      </x:c>
      <x:c r="E5" s="89" t="n">
        <x:v>2</x:v>
      </x:c>
      <x:c r="F5" s="89" t="n">
        <x:v>5</x:v>
      </x:c>
      <x:c r="G5" s="89" t="n">
        <x:v>100</x:v>
      </x:c>
      <x:c r="H5" s="97" t="n">
        <x:v>0.1</x:v>
      </x:c>
      <x:c r="I5" s="89" t="n">
        <x:v>50</x:v>
      </x:c>
      <x:c r="J5" s="89" t="n">
        <x:v>15</x:v>
      </x:c>
      <x:c r="K5" s="82" t="n">
        <x:f>B5*((C5/1000000)*Premissas!$C$8+(D5/1000000)*Premissas!$C$9)*Premissas!$C$5</x:f>
        <x:v>1.0121244</x:v>
      </x:c>
      <x:c r="L5" s="82" t="n">
        <x:f>E5*Premissas!$C$10*Premissas!$C$5</x:f>
        <x:v>0.21998214</x:v>
      </x:c>
      <x:c r="M5" s="82" t="n">
        <x:f>G5*H5*0.05</x:f>
        <x:v>0.5</x:v>
      </x:c>
      <x:c r="N5" s="82" t="n">
        <x:f>J5*Premissas!$C$19</x:f>
        <x:v>9</x:v>
      </x:c>
      <x:c r="O5" s="98" t="n">
        <x:v>0.75</x:v>
      </x:c>
      <x:c r="P5" s="82" t="n">
        <x:f>SUM(K5:O5)</x:f>
        <x:v>11.48210654</x:v>
      </x:c>
      <x:c r="Q5" s="97" t="n">
        <x:v>0.7</x:v>
      </x:c>
      <x:c r="R5" s="82" t="n">
        <x:f>P5*Q5</x:f>
        <x:v>8.037474578</x:v>
      </x:c>
      <x:c r="S5" s="82" t="n">
        <x:f>(P5+(Premissas!$C$14*Premissas!$C$12+Premissas!$C$15*Premissas!$C$13))/(1-80%-Premissas!$C$14*Premissas!$C$11)</x:f>
        <x:v>69.53178397860061</x:v>
      </x:c>
      <x:c r="T5" s="81" t="str">
        <x:v>Incluído com limites</x:v>
      </x:c>
    </x:row>
    <x:row r="6">
      <x:c r="A6" s="81" t="str">
        <x:v>Normal</x:v>
      </x:c>
      <x:c r="B6" s="89" t="n">
        <x:v>160</x:v>
      </x:c>
      <x:c r="C6" s="89" t="n">
        <x:v>12000</x:v>
      </x:c>
      <x:c r="D6" s="89" t="n">
        <x:v>2000</x:v>
      </x:c>
      <x:c r="E6" s="89" t="n">
        <x:v>8</x:v>
      </x:c>
      <x:c r="F6" s="89" t="n">
        <x:v>25</x:v>
      </x:c>
      <x:c r="G6" s="89" t="n">
        <x:v>500</x:v>
      </x:c>
      <x:c r="H6" s="97" t="n">
        <x:v>0.3</x:v>
      </x:c>
      <x:c r="I6" s="89" t="n">
        <x:v>250</x:v>
      </x:c>
      <x:c r="J6" s="89" t="n">
        <x:v>45</x:v>
      </x:c>
      <x:c r="K6" s="82" t="n">
        <x:f>B6*((C6/1000000)*Premissas!$C$8+(D6/1000000)*Premissas!$C$9)*Premissas!$C$5</x:f>
        <x:v>7.1055264</x:v>
      </x:c>
      <x:c r="L6" s="82" t="n">
        <x:f>E6*Premissas!$C$10*Premissas!$C$5</x:f>
        <x:v>0.87992856</x:v>
      </x:c>
      <x:c r="M6" s="82" t="n">
        <x:f>G6*H6*0.05</x:f>
        <x:v>7.5</x:v>
      </x:c>
      <x:c r="N6" s="82" t="n">
        <x:f>J6*Premissas!$C$19</x:f>
        <x:v>27</x:v>
      </x:c>
      <x:c r="O6" s="98" t="n">
        <x:v>2</x:v>
      </x:c>
      <x:c r="P6" s="82" t="n">
        <x:f>SUM(K6:O6)</x:f>
        <x:v>44.48545496</x:v>
      </x:c>
      <x:c r="Q6" s="97" t="n">
        <x:v>0.25</x:v>
      </x:c>
      <x:c r="R6" s="82" t="n">
        <x:f>P6*Q6</x:f>
        <x:v>11.12136374</x:v>
      </x:c>
      <x:c r="S6" s="82" t="n">
        <x:f>(P6+(Premissas!$C$14*Premissas!$C$12+Premissas!$C$15*Premissas!$C$13))/(1-80%-Premissas!$C$14*Premissas!$C$11)</x:f>
        <x:v>255.3876106433902</x:v>
      </x:c>
      <x:c r="T6" s="81" t="str">
        <x:v>Base do plano Pro</x:v>
      </x:c>
    </x:row>
    <x:row r="7">
      <x:c r="A7" s="81" t="str">
        <x:v>Power</x:v>
      </x:c>
      <x:c r="B7" s="89" t="n">
        <x:v>700</x:v>
      </x:c>
      <x:c r="C7" s="89" t="n">
        <x:v>18000</x:v>
      </x:c>
      <x:c r="D7" s="89" t="n">
        <x:v>3000</x:v>
      </x:c>
      <x:c r="E7" s="89" t="n">
        <x:v>30</x:v>
      </x:c>
      <x:c r="F7" s="89" t="n">
        <x:v>100</x:v>
      </x:c>
      <x:c r="G7" s="89" t="n">
        <x:v>2500</x:v>
      </x:c>
      <x:c r="H7" s="97" t="n">
        <x:v>0.6</x:v>
      </x:c>
      <x:c r="I7" s="89" t="n">
        <x:v>1200</x:v>
      </x:c>
      <x:c r="J7" s="89" t="n">
        <x:v>120</x:v>
      </x:c>
      <x:c r="K7" s="82" t="n">
        <x:f>B7*((C7/1000000)*Premissas!$C$8+(D7/1000000)*Premissas!$C$9)*Premissas!$C$5</x:f>
        <x:v>46.630016999999995</x:v>
      </x:c>
      <x:c r="L7" s="82" t="n">
        <x:f>E7*Premissas!$C$10*Premissas!$C$5</x:f>
        <x:v>3.2997321</x:v>
      </x:c>
      <x:c r="M7" s="82" t="n">
        <x:f>G7*H7*0.05</x:f>
        <x:v>75</x:v>
      </x:c>
      <x:c r="N7" s="82" t="n">
        <x:f>J7*Premissas!$C$19</x:f>
        <x:v>72</x:v>
      </x:c>
      <x:c r="O7" s="98" t="n">
        <x:v>8</x:v>
      </x:c>
      <x:c r="P7" s="82" t="n">
        <x:f>SUM(K7:O7)</x:f>
        <x:v>204.92974909999998</x:v>
      </x:c>
      <x:c r="Q7" s="97" t="n">
        <x:v>0.05</x:v>
      </x:c>
      <x:c r="R7" s="82" t="n">
        <x:f>P7*Q7</x:f>
        <x:v>10.246487455</x:v>
      </x:c>
      <x:c r="S7" s="82" t="n">
        <x:f>(P7+(Premissas!$C$14*Premissas!$C$12+Premissas!$C$15*Premissas!$C$13))/(1-80%-Premissas!$C$14*Premissas!$C$11)</x:f>
        <x:v>1158.9173537941717</x:v>
      </x:c>
      <x:c r="T7" s="81" t="str">
        <x:v>Créditos/overage obrigatório</x:v>
      </x:c>
    </x:row>
    <x:row r="8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</x:row>
    <x:row r="9">
      <x:c r="A9" s="93" t="str">
        <x:v>Custo médio ponderado por conta</x:v>
      </x:c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</x:row>
    <x:row r="10" ht="28" customHeight="1">
      <x:c r="A10" s="94" t="str">
        <x:v>Componente</x:v>
      </x:c>
      <x:c r="B10" s="94" t="str">
        <x:v>BRL/mês</x:v>
      </x:c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</x:row>
    <x:row r="11">
      <x:c r="A11" s="81" t="str">
        <x:v>COGS variável ponderado</x:v>
      </x:c>
      <x:c r="B11" s="82" t="n">
        <x:f>SUM(R5:R7)</x:f>
        <x:v>29.405325773</x:v>
      </x:c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</x:row>
    <x:row r="12">
      <x:c r="A12" s="81" t="str">
        <x:v>Gateway no ARPA recomendado</x:v>
      </x:c>
      <x:c r="B12" s="82" t="n">
        <x:f>Premissas!$C$27*Premissas!$C$14*Premissas!$C$11+Premissas!$C$14*Premissas!$C$12+Premissas!$C$15*Premissas!$C$13</x:f>
        <x:v>5.529399999999999</x:v>
      </x:c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</x:row>
    <x:row r="13">
      <x:c r="A13" s="81" t="str">
        <x:v>COGS total direto por conta</x:v>
      </x:c>
      <x:c r="B13" s="82" t="n">
        <x:f>SUM(B11:B12)</x:f>
        <x:v>34.934725773</x:v>
      </x:c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</x:row>
  </x:sheetData>
  <x:mergeCells>
    <x:mergeCell ref="A1:T1"/>
    <x:mergeCell ref="A2:T2"/>
    <x:mergeCell ref="A9:T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2" hidden="0" customWidth="1"/>
  </x:cols>
  <x:sheetData>
    <x:row r="1" ht="34" customHeight="1">
      <x:c r="A1" s="88" t="str">
        <x:v>Cenários de escala — pricing equilibrado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</x:row>
    <x:row r="2" ht="26" customHeight="1">
      <x:c r="A2" s="79" t="str">
        <x:v>Mix-base: 55% Starter R$129, 35% Pro R$249, 10% Business R$499. Custos operacionais são envelopes editáveis.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</x:row>
    <x:row r="4" ht="24" customHeight="1">
      <x:c r="A4" s="80" t="str">
        <x:v>Contas</x:v>
      </x:c>
      <x:c r="B4" s="80" t="str">
        <x:v>ARPA</x:v>
      </x:c>
      <x:c r="C4" s="80" t="str">
        <x:v>MRR</x:v>
      </x:c>
      <x:c r="D4" s="80" t="str">
        <x:v>ARR</x:v>
      </x:c>
      <x:c r="E4" s="80" t="str">
        <x:v>Fixos tech</x:v>
      </x:c>
      <x:c r="F4" s="80" t="str">
        <x:v>COGS variável</x:v>
      </x:c>
      <x:c r="G4" s="80" t="str">
        <x:v>Gateway</x:v>
      </x:c>
      <x:c r="H4" s="80" t="str">
        <x:v>COGS total</x:v>
      </x:c>
      <x:c r="I4" s="80" t="str">
        <x:v>COGS/conta</x:v>
      </x:c>
      <x:c r="J4" s="80" t="str">
        <x:v>Margem bruta</x:v>
      </x:c>
      <x:c r="K4" s="80" t="str">
        <x:v>Tributos</x:v>
      </x:c>
      <x:c r="L4" s="80" t="str">
        <x:v>Contribuição</x:v>
      </x:c>
      <x:c r="M4" s="80" t="str">
        <x:v>Opex lean</x:v>
      </x:c>
      <x:c r="N4" s="80" t="str">
        <x:v>Resultado lean</x:v>
      </x:c>
      <x:c r="O4" s="80" t="str">
        <x:v>Opex base</x:v>
      </x:c>
      <x:c r="P4" s="80" t="str">
        <x:v>Resultado base</x:v>
      </x:c>
      <x:c r="Q4" s="80" t="str">
        <x:v>Opex growth/resultado</x:v>
      </x:c>
      <x:c r="R4" s="78"/>
      <x:c r="S4" s="78"/>
      <x:c r="T4" s="78"/>
      <x:c r="U4" s="78"/>
      <x:c r="V4" s="78"/>
      <x:c r="W4" s="78"/>
    </x:row>
    <x:row r="5">
      <x:c r="A5" s="99" t="n">
        <x:v>10</x:v>
      </x:c>
      <x:c r="B5" s="82" t="n">
        <x:f>Premissas!$C$27</x:f>
        <x:v>208</x:v>
      </x:c>
      <x:c r="C5" s="82" t="n">
        <x:f>A5*B5</x:f>
        <x:v>2080</x:v>
      </x:c>
      <x:c r="D5" s="82" t="n">
        <x:f>C5*12</x:f>
        <x:v>24960</x:v>
      </x:c>
      <x:c r="E5" s="82" t="n">
        <x:f>Premissas!$C$20</x:f>
        <x:v>232.38</x:v>
      </x:c>
      <x:c r="F5" s="82" t="n">
        <x:f>A5*Perfis_Uso!$B$11</x:f>
        <x:v>294.05325773000004</x:v>
      </x:c>
      <x:c r="G5" s="82" t="n">
        <x:f>A5*Perfis_Uso!$B$12</x:f>
        <x:v>55.29399999999999</x:v>
      </x:c>
      <x:c r="H5" s="82" t="n">
        <x:f>SUM(E5:G5)</x:f>
        <x:v>581.72725773</x:v>
      </x:c>
      <x:c r="I5" s="82" t="n">
        <x:f>H5/A5</x:f>
        <x:v>58.172725773</x:v>
      </x:c>
      <x:c r="J5" s="84" t="n">
        <x:f>(C5-H5)/C5</x:f>
        <x:v>0.7203234337836538</x:v>
      </x:c>
      <x:c r="K5" s="82" t="n">
        <x:f>C5*Premissas!$C$16</x:f>
        <x:v>218.4</x:v>
      </x:c>
      <x:c r="L5" s="82" t="n">
        <x:f>C5-H5-K5</x:f>
        <x:v>1279.87274227</x:v>
      </x:c>
      <x:c r="M5" s="82" t="n">
        <x:f>Premissas!$C$21</x:f>
        <x:v>8000</x:v>
      </x:c>
      <x:c r="N5" s="82" t="n">
        <x:f>L5-M5</x:f>
        <x:v>-6720.127257730001</x:v>
      </x:c>
      <x:c r="O5" s="82" t="n">
        <x:f>Premissas!$C$22</x:f>
        <x:v>25000</x:v>
      </x:c>
      <x:c r="P5" s="82" t="n">
        <x:f>L5-O5</x:f>
        <x:v>-23720.12725773</x:v>
      </x:c>
      <x:c r="Q5" s="82" t="n">
        <x:f>L5-Premissas!$C$23</x:f>
        <x:v>-58720.12725773</x:v>
      </x:c>
      <x:c r="R5" s="78"/>
      <x:c r="S5" s="78"/>
      <x:c r="T5" s="78"/>
      <x:c r="U5" s="78"/>
      <x:c r="V5" s="78"/>
      <x:c r="W5" s="78"/>
    </x:row>
    <x:row r="6">
      <x:c r="A6" s="99" t="n">
        <x:v>50</x:v>
      </x:c>
      <x:c r="B6" s="82" t="n">
        <x:f>Premissas!$C$27</x:f>
        <x:v>208</x:v>
      </x:c>
      <x:c r="C6" s="82" t="n">
        <x:f>A6*B6</x:f>
        <x:v>10400</x:v>
      </x:c>
      <x:c r="D6" s="82" t="n">
        <x:f>C6*12</x:f>
        <x:v>124800</x:v>
      </x:c>
      <x:c r="E6" s="82" t="n">
        <x:f>Premissas!$C$20</x:f>
        <x:v>232.38</x:v>
      </x:c>
      <x:c r="F6" s="82" t="n">
        <x:f>A6*Perfis_Uso!$B$11</x:f>
        <x:v>1470.26628865</x:v>
      </x:c>
      <x:c r="G6" s="82" t="n">
        <x:f>A6*Perfis_Uso!$B$12</x:f>
        <x:v>276.46999999999997</x:v>
      </x:c>
      <x:c r="H6" s="82" t="n">
        <x:f>SUM(E6:G6)</x:f>
        <x:v>1979.11628865</x:v>
      </x:c>
      <x:c r="I6" s="82" t="n">
        <x:f>H6/A6</x:f>
        <x:v>39.582325773</x:v>
      </x:c>
      <x:c r="J6" s="84" t="n">
        <x:f>(C6-H6)/C6</x:f>
        <x:v>0.8097003568605768</x:v>
      </x:c>
      <x:c r="K6" s="82" t="n">
        <x:f>C6*Premissas!$C$16</x:f>
        <x:v>1092</x:v>
      </x:c>
      <x:c r="L6" s="82" t="n">
        <x:f>C6-H6-K6</x:f>
        <x:v>7328.883711349999</x:v>
      </x:c>
      <x:c r="M6" s="82" t="n">
        <x:f>Premissas!$C$21</x:f>
        <x:v>8000</x:v>
      </x:c>
      <x:c r="N6" s="82" t="n">
        <x:f>L6-M6</x:f>
        <x:v>-671.1162886500006</x:v>
      </x:c>
      <x:c r="O6" s="82" t="n">
        <x:f>Premissas!$C$22</x:f>
        <x:v>25000</x:v>
      </x:c>
      <x:c r="P6" s="82" t="n">
        <x:f>L6-O6</x:f>
        <x:v>-17671.116288650002</x:v>
      </x:c>
      <x:c r="Q6" s="82" t="n">
        <x:f>L6-Premissas!$C$23</x:f>
        <x:v>-52671.11628865</x:v>
      </x:c>
      <x:c r="R6" s="78"/>
      <x:c r="S6" s="78"/>
      <x:c r="T6" s="78"/>
      <x:c r="U6" s="78"/>
      <x:c r="V6" s="78"/>
      <x:c r="W6" s="78"/>
    </x:row>
    <x:row r="7">
      <x:c r="A7" s="99" t="n">
        <x:v>100</x:v>
      </x:c>
      <x:c r="B7" s="82" t="n">
        <x:f>Premissas!$C$27</x:f>
        <x:v>208</x:v>
      </x:c>
      <x:c r="C7" s="82" t="n">
        <x:f>A7*B7</x:f>
        <x:v>20800</x:v>
      </x:c>
      <x:c r="D7" s="82" t="n">
        <x:f>C7*12</x:f>
        <x:v>249600</x:v>
      </x:c>
      <x:c r="E7" s="82" t="n">
        <x:f>Premissas!$C$20</x:f>
        <x:v>232.38</x:v>
      </x:c>
      <x:c r="F7" s="82" t="n">
        <x:f>A7*Perfis_Uso!$B$11</x:f>
        <x:v>2940.5325773</x:v>
      </x:c>
      <x:c r="G7" s="82" t="n">
        <x:f>A7*Perfis_Uso!$B$12</x:f>
        <x:v>552.9399999999999</x:v>
      </x:c>
      <x:c r="H7" s="82" t="n">
        <x:f>SUM(E7:G7)</x:f>
        <x:v>3725.8525773</x:v>
      </x:c>
      <x:c r="I7" s="82" t="n">
        <x:f>H7/A7</x:f>
        <x:v>37.258525773</x:v>
      </x:c>
      <x:c r="J7" s="84" t="n">
        <x:f>(C7-H7)/C7</x:f>
        <x:v>0.8208724722451923</x:v>
      </x:c>
      <x:c r="K7" s="82" t="n">
        <x:f>C7*Premissas!$C$16</x:f>
        <x:v>2184</x:v>
      </x:c>
      <x:c r="L7" s="82" t="n">
        <x:f>C7-H7-K7</x:f>
        <x:v>14890.1474227</x:v>
      </x:c>
      <x:c r="M7" s="82" t="n">
        <x:f>Premissas!$C$21</x:f>
        <x:v>8000</x:v>
      </x:c>
      <x:c r="N7" s="82" t="n">
        <x:f>L7-M7</x:f>
        <x:v>6890.1474227</x:v>
      </x:c>
      <x:c r="O7" s="82" t="n">
        <x:f>Premissas!$C$22</x:f>
        <x:v>25000</x:v>
      </x:c>
      <x:c r="P7" s="82" t="n">
        <x:f>L7-O7</x:f>
        <x:v>-10109.8525773</x:v>
      </x:c>
      <x:c r="Q7" s="82" t="n">
        <x:f>L7-Premissas!$C$23</x:f>
        <x:v>-45109.8525773</x:v>
      </x:c>
      <x:c r="R7" s="78"/>
      <x:c r="S7" s="78"/>
      <x:c r="T7" s="78"/>
      <x:c r="U7" s="78"/>
      <x:c r="V7" s="78"/>
      <x:c r="W7" s="78"/>
    </x:row>
    <x:row r="8">
      <x:c r="A8" s="99" t="n">
        <x:v>250</x:v>
      </x:c>
      <x:c r="B8" s="82" t="n">
        <x:f>Premissas!$C$27</x:f>
        <x:v>208</x:v>
      </x:c>
      <x:c r="C8" s="82" t="n">
        <x:f>A8*B8</x:f>
        <x:v>52000</x:v>
      </x:c>
      <x:c r="D8" s="82" t="n">
        <x:f>C8*12</x:f>
        <x:v>624000</x:v>
      </x:c>
      <x:c r="E8" s="82" t="n">
        <x:f>Premissas!$C$20</x:f>
        <x:v>232.38</x:v>
      </x:c>
      <x:c r="F8" s="82" t="n">
        <x:f>A8*Perfis_Uso!$B$11</x:f>
        <x:v>7351.33144325</x:v>
      </x:c>
      <x:c r="G8" s="82" t="n">
        <x:f>A8*Perfis_Uso!$B$12</x:f>
        <x:v>1382.3499999999997</x:v>
      </x:c>
      <x:c r="H8" s="82" t="n">
        <x:f>SUM(E8:G8)</x:f>
        <x:v>8966.06144325</x:v>
      </x:c>
      <x:c r="I8" s="82" t="n">
        <x:f>H8/A8</x:f>
        <x:v>35.864245773</x:v>
      </x:c>
      <x:c r="J8" s="84" t="n">
        <x:f>(C8-H8)/C8</x:f>
        <x:v>0.8275757414759616</x:v>
      </x:c>
      <x:c r="K8" s="82" t="n">
        <x:f>C8*Premissas!$C$16</x:f>
        <x:v>5460</x:v>
      </x:c>
      <x:c r="L8" s="82" t="n">
        <x:f>C8-H8-K8</x:f>
        <x:v>37573.93855675</x:v>
      </x:c>
      <x:c r="M8" s="82" t="n">
        <x:f>Premissas!$C$21</x:f>
        <x:v>8000</x:v>
      </x:c>
      <x:c r="N8" s="82" t="n">
        <x:f>L8-M8</x:f>
        <x:v>29573.93855675</x:v>
      </x:c>
      <x:c r="O8" s="82" t="n">
        <x:f>Premissas!$C$22</x:f>
        <x:v>25000</x:v>
      </x:c>
      <x:c r="P8" s="82" t="n">
        <x:f>L8-O8</x:f>
        <x:v>12573.93855675</x:v>
      </x:c>
      <x:c r="Q8" s="82" t="n">
        <x:f>L8-Premissas!$C$23</x:f>
        <x:v>-22426.06144325</x:v>
      </x:c>
      <x:c r="R8" s="78"/>
      <x:c r="S8" s="78"/>
      <x:c r="T8" s="78"/>
      <x:c r="U8" s="78"/>
      <x:c r="V8" s="78"/>
      <x:c r="W8" s="78"/>
    </x:row>
    <x:row r="9">
      <x:c r="A9" s="99" t="n">
        <x:v>500</x:v>
      </x:c>
      <x:c r="B9" s="82" t="n">
        <x:f>Premissas!$C$27</x:f>
        <x:v>208</x:v>
      </x:c>
      <x:c r="C9" s="82" t="n">
        <x:f>A9*B9</x:f>
        <x:v>104000</x:v>
      </x:c>
      <x:c r="D9" s="82" t="n">
        <x:f>C9*12</x:f>
        <x:v>1248000</x:v>
      </x:c>
      <x:c r="E9" s="82" t="n">
        <x:f>Premissas!$C$20</x:f>
        <x:v>232.38</x:v>
      </x:c>
      <x:c r="F9" s="82" t="n">
        <x:f>A9*Perfis_Uso!$B$11</x:f>
        <x:v>14702.6628865</x:v>
      </x:c>
      <x:c r="G9" s="82" t="n">
        <x:f>A9*Perfis_Uso!$B$12</x:f>
        <x:v>2764.6999999999994</x:v>
      </x:c>
      <x:c r="H9" s="82" t="n">
        <x:f>SUM(E9:G9)</x:f>
        <x:v>17699.7428865</x:v>
      </x:c>
      <x:c r="I9" s="82" t="n">
        <x:f>H9/A9</x:f>
        <x:v>35.399485773</x:v>
      </x:c>
      <x:c r="J9" s="84" t="n">
        <x:f>(C9-H9)/C9</x:f>
        <x:v>0.8298101645528847</x:v>
      </x:c>
      <x:c r="K9" s="82" t="n">
        <x:f>C9*Premissas!$C$16</x:f>
        <x:v>10920</x:v>
      </x:c>
      <x:c r="L9" s="82" t="n">
        <x:f>C9-H9-K9</x:f>
        <x:v>75380.2571135</x:v>
      </x:c>
      <x:c r="M9" s="82" t="n">
        <x:f>Premissas!$C$21</x:f>
        <x:v>8000</x:v>
      </x:c>
      <x:c r="N9" s="82" t="n">
        <x:f>L9-M9</x:f>
        <x:v>67380.2571135</x:v>
      </x:c>
      <x:c r="O9" s="82" t="n">
        <x:f>Premissas!$C$22</x:f>
        <x:v>25000</x:v>
      </x:c>
      <x:c r="P9" s="82" t="n">
        <x:f>L9-O9</x:f>
        <x:v>50380.2571135</x:v>
      </x:c>
      <x:c r="Q9" s="82" t="n">
        <x:f>L9-Premissas!$C$23</x:f>
        <x:v>15380.257113500003</x:v>
      </x:c>
      <x:c r="R9" s="78"/>
      <x:c r="S9" s="78"/>
      <x:c r="T9" s="78"/>
      <x:c r="U9" s="78"/>
      <x:c r="V9" s="78"/>
      <x:c r="W9" s="78"/>
    </x:row>
    <x:row r="10">
      <x:c r="A10" s="99" t="n">
        <x:v>1000</x:v>
      </x:c>
      <x:c r="B10" s="82" t="n">
        <x:f>Premissas!$C$27</x:f>
        <x:v>208</x:v>
      </x:c>
      <x:c r="C10" s="82" t="n">
        <x:f>A10*B10</x:f>
        <x:v>208000</x:v>
      </x:c>
      <x:c r="D10" s="82" t="n">
        <x:f>C10*12</x:f>
        <x:v>2496000</x:v>
      </x:c>
      <x:c r="E10" s="82" t="n">
        <x:f>Premissas!$C$20</x:f>
        <x:v>232.38</x:v>
      </x:c>
      <x:c r="F10" s="82" t="n">
        <x:f>A10*Perfis_Uso!$B$11</x:f>
        <x:v>29405.325773</x:v>
      </x:c>
      <x:c r="G10" s="82" t="n">
        <x:f>A10*Perfis_Uso!$B$12</x:f>
        <x:v>5529.399999999999</x:v>
      </x:c>
      <x:c r="H10" s="82" t="n">
        <x:f>SUM(E10:G10)</x:f>
        <x:v>35167.105773</x:v>
      </x:c>
      <x:c r="I10" s="82" t="n">
        <x:f>H10/A10</x:f>
        <x:v>35.167105773</x:v>
      </x:c>
      <x:c r="J10" s="84" t="n">
        <x:f>(C10-H10)/C10</x:f>
        <x:v>0.8309273760913463</x:v>
      </x:c>
      <x:c r="K10" s="82" t="n">
        <x:f>C10*Premissas!$C$16</x:f>
        <x:v>21840</x:v>
      </x:c>
      <x:c r="L10" s="82" t="n">
        <x:f>C10-H10-K10</x:f>
        <x:v>150992.894227</x:v>
      </x:c>
      <x:c r="M10" s="82" t="n">
        <x:f>Premissas!$C$21</x:f>
        <x:v>8000</x:v>
      </x:c>
      <x:c r="N10" s="82" t="n">
        <x:f>L10-M10</x:f>
        <x:v>142992.894227</x:v>
      </x:c>
      <x:c r="O10" s="82" t="n">
        <x:f>Premissas!$C$22</x:f>
        <x:v>25000</x:v>
      </x:c>
      <x:c r="P10" s="82" t="n">
        <x:f>L10-O10</x:f>
        <x:v>125992.89422700001</x:v>
      </x:c>
      <x:c r="Q10" s="82" t="n">
        <x:f>L10-Premissas!$C$23</x:f>
        <x:v>90992.89422700001</x:v>
      </x:c>
      <x:c r="R10" s="78"/>
      <x:c r="S10" s="78"/>
      <x:c r="T10" s="78"/>
      <x:c r="U10" s="78"/>
      <x:c r="V10" s="78"/>
      <x:c r="W10" s="78"/>
    </x:row>
    <x:row r="11">
      <x:c r="A11" s="99" t="n">
        <x:v>5000</x:v>
      </x:c>
      <x:c r="B11" s="82" t="n">
        <x:f>Premissas!$C$27</x:f>
        <x:v>208</x:v>
      </x:c>
      <x:c r="C11" s="82" t="n">
        <x:f>A11*B11</x:f>
        <x:v>1040000</x:v>
      </x:c>
      <x:c r="D11" s="82" t="n">
        <x:f>C11*12</x:f>
        <x:v>12480000</x:v>
      </x:c>
      <x:c r="E11" s="82" t="n">
        <x:f>Premissas!$C$20</x:f>
        <x:v>232.38</x:v>
      </x:c>
      <x:c r="F11" s="82" t="n">
        <x:f>A11*Perfis_Uso!$B$11</x:f>
        <x:v>147026.628865</x:v>
      </x:c>
      <x:c r="G11" s="82" t="n">
        <x:f>A11*Perfis_Uso!$B$12</x:f>
        <x:v>27646.999999999996</x:v>
      </x:c>
      <x:c r="H11" s="82" t="n">
        <x:f>SUM(E11:G11)</x:f>
        <x:v>174906.008865</x:v>
      </x:c>
      <x:c r="I11" s="82" t="n">
        <x:f>H11/A11</x:f>
        <x:v>34.981201773</x:v>
      </x:c>
      <x:c r="J11" s="84" t="n">
        <x:f>(C11-H11)/C11</x:f>
        <x:v>0.8318211453221154</x:v>
      </x:c>
      <x:c r="K11" s="82" t="n">
        <x:f>C11*Premissas!$C$16</x:f>
        <x:v>109200</x:v>
      </x:c>
      <x:c r="L11" s="82" t="n">
        <x:f>C11-H11-K11</x:f>
        <x:v>755893.991135</x:v>
      </x:c>
      <x:c r="M11" s="82" t="n">
        <x:f>Premissas!$C$21</x:f>
        <x:v>8000</x:v>
      </x:c>
      <x:c r="N11" s="82" t="n">
        <x:f>L11-M11</x:f>
        <x:v>747893.991135</x:v>
      </x:c>
      <x:c r="O11" s="82" t="n">
        <x:f>Premissas!$C$22</x:f>
        <x:v>25000</x:v>
      </x:c>
      <x:c r="P11" s="82" t="n">
        <x:f>L11-O11</x:f>
        <x:v>730893.991135</x:v>
      </x:c>
      <x:c r="Q11" s="82" t="n">
        <x:f>L11-Premissas!$C$23</x:f>
        <x:v>695893.991135</x:v>
      </x:c>
      <x:c r="R11" s="78"/>
      <x:c r="S11" s="78"/>
      <x:c r="T11" s="78"/>
      <x:c r="U11" s="78"/>
      <x:c r="V11" s="78"/>
      <x:c r="W11" s="78"/>
    </x:row>
    <x:row r="12">
      <x:c r="A12" s="99" t="n">
        <x:v>10000</x:v>
      </x:c>
      <x:c r="B12" s="82" t="n">
        <x:f>Premissas!$C$27</x:f>
        <x:v>208</x:v>
      </x:c>
      <x:c r="C12" s="82" t="n">
        <x:f>A12*B12</x:f>
        <x:v>2080000</x:v>
      </x:c>
      <x:c r="D12" s="82" t="n">
        <x:f>C12*12</x:f>
        <x:v>24960000</x:v>
      </x:c>
      <x:c r="E12" s="82" t="n">
        <x:f>Premissas!$C$20</x:f>
        <x:v>232.38</x:v>
      </x:c>
      <x:c r="F12" s="82" t="n">
        <x:f>A12*Perfis_Uso!$B$11</x:f>
        <x:v>294053.25773</x:v>
      </x:c>
      <x:c r="G12" s="82" t="n">
        <x:f>A12*Perfis_Uso!$B$12</x:f>
        <x:v>55293.99999999999</x:v>
      </x:c>
      <x:c r="H12" s="82" t="n">
        <x:f>SUM(E12:G12)</x:f>
        <x:v>349579.63773</x:v>
      </x:c>
      <x:c r="I12" s="82" t="n">
        <x:f>H12/A12</x:f>
        <x:v>34.957963773</x:v>
      </x:c>
      <x:c r="J12" s="84" t="n">
        <x:f>(C12-H12)/C12</x:f>
        <x:v>0.8319328664759615</x:v>
      </x:c>
      <x:c r="K12" s="82" t="n">
        <x:f>C12*Premissas!$C$16</x:f>
        <x:v>218400</x:v>
      </x:c>
      <x:c r="L12" s="82" t="n">
        <x:f>C12-H12-K12</x:f>
        <x:v>1512020.36227</x:v>
      </x:c>
      <x:c r="M12" s="82" t="n">
        <x:f>Premissas!$C$21</x:f>
        <x:v>8000</x:v>
      </x:c>
      <x:c r="N12" s="82" t="n">
        <x:f>L12-M12</x:f>
        <x:v>1504020.36227</x:v>
      </x:c>
      <x:c r="O12" s="82" t="n">
        <x:f>Premissas!$C$22</x:f>
        <x:v>25000</x:v>
      </x:c>
      <x:c r="P12" s="82" t="n">
        <x:f>L12-O12</x:f>
        <x:v>1487020.36227</x:v>
      </x:c>
      <x:c r="Q12" s="82" t="n">
        <x:f>L12-Premissas!$C$23</x:f>
        <x:v>1452020.36227</x:v>
      </x:c>
      <x:c r="R12" s="78"/>
      <x:c r="S12" s="78"/>
      <x:c r="T12" s="78"/>
      <x:c r="U12" s="78"/>
      <x:c r="V12" s="78"/>
      <x:c r="W12" s="78"/>
    </x:row>
    <x:row r="13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</x:row>
    <x:row r="14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</x:row>
    <x:row r="18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</x:row>
    <x:row r="19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111" t="str">
        <x:v>Contas</x:v>
      </x:c>
      <x:c r="T32" s="111" t="str">
        <x:v>MRR</x:v>
      </x:c>
      <x:c r="U32" s="111"/>
      <x:c r="V32" s="111" t="str">
        <x:v>Contas</x:v>
      </x:c>
      <x:c r="W32" s="111" t="str">
        <x:v>Margem</x:v>
      </x:c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111" t="n">
        <x:f>A5</x:f>
        <x:v>10</x:v>
      </x:c>
      <x:c r="T33" s="111" t="n">
        <x:f>C5</x:f>
        <x:v>2080</x:v>
      </x:c>
      <x:c r="U33" s="111"/>
      <x:c r="V33" s="111" t="n">
        <x:f>A5</x:f>
        <x:v>10</x:v>
      </x:c>
      <x:c r="W33" s="111" t="n">
        <x:f>J5</x:f>
        <x:v>0.7203234337836538</x:v>
      </x:c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111" t="n">
        <x:f>A6</x:f>
        <x:v>50</x:v>
      </x:c>
      <x:c r="T34" s="111" t="n">
        <x:f>C6</x:f>
        <x:v>10400</x:v>
      </x:c>
      <x:c r="U34" s="111"/>
      <x:c r="V34" s="111" t="n">
        <x:f>A6</x:f>
        <x:v>50</x:v>
      </x:c>
      <x:c r="W34" s="111" t="n">
        <x:f>J6</x:f>
        <x:v>0.8097003568605768</x:v>
      </x:c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111" t="n">
        <x:f>A7</x:f>
        <x:v>100</x:v>
      </x:c>
      <x:c r="T35" s="111" t="n">
        <x:f>C7</x:f>
        <x:v>20800</x:v>
      </x:c>
      <x:c r="U35" s="111"/>
      <x:c r="V35" s="111" t="n">
        <x:f>A7</x:f>
        <x:v>100</x:v>
      </x:c>
      <x:c r="W35" s="111" t="n">
        <x:f>J7</x:f>
        <x:v>0.8208724722451923</x:v>
      </x:c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111" t="n">
        <x:f>A8</x:f>
        <x:v>250</x:v>
      </x:c>
      <x:c r="T36" s="111" t="n">
        <x:f>C8</x:f>
        <x:v>52000</x:v>
      </x:c>
      <x:c r="U36" s="111"/>
      <x:c r="V36" s="111" t="n">
        <x:f>A8</x:f>
        <x:v>250</x:v>
      </x:c>
      <x:c r="W36" s="111" t="n">
        <x:f>J8</x:f>
        <x:v>0.8275757414759616</x:v>
      </x:c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111" t="n">
        <x:f>A9</x:f>
        <x:v>500</x:v>
      </x:c>
      <x:c r="T37" s="111" t="n">
        <x:f>C9</x:f>
        <x:v>104000</x:v>
      </x:c>
      <x:c r="U37" s="111"/>
      <x:c r="V37" s="111" t="n">
        <x:f>A9</x:f>
        <x:v>500</x:v>
      </x:c>
      <x:c r="W37" s="111" t="n">
        <x:f>J9</x:f>
        <x:v>0.8298101645528847</x:v>
      </x:c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111" t="n">
        <x:f>A10</x:f>
        <x:v>1000</x:v>
      </x:c>
      <x:c r="T38" s="111" t="n">
        <x:f>C10</x:f>
        <x:v>208000</x:v>
      </x:c>
      <x:c r="U38" s="111"/>
      <x:c r="V38" s="111" t="n">
        <x:f>A10</x:f>
        <x:v>1000</x:v>
      </x:c>
      <x:c r="W38" s="111" t="n">
        <x:f>J10</x:f>
        <x:v>0.8309273760913463</x:v>
      </x:c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111" t="n">
        <x:f>A11</x:f>
        <x:v>5000</x:v>
      </x:c>
      <x:c r="T39" s="111" t="n">
        <x:f>C11</x:f>
        <x:v>1040000</x:v>
      </x:c>
      <x:c r="U39" s="111"/>
      <x:c r="V39" s="111" t="n">
        <x:f>A11</x:f>
        <x:v>5000</x:v>
      </x:c>
      <x:c r="W39" s="111" t="n">
        <x:f>J11</x:f>
        <x:v>0.8318211453221154</x:v>
      </x:c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111" t="n">
        <x:f>A12</x:f>
        <x:v>10000</x:v>
      </x:c>
      <x:c r="T40" s="111" t="n">
        <x:f>C12</x:f>
        <x:v>2080000</x:v>
      </x:c>
      <x:c r="U40" s="111"/>
      <x:c r="V40" s="111" t="n">
        <x:f>A12</x:f>
        <x:v>10000</x:v>
      </x:c>
      <x:c r="W40" s="111" t="n">
        <x:f>J12</x:f>
        <x:v>0.8319328664759615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d86ef4aa4a0840e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2" hidden="0" customWidth="1"/>
    <x:col min="4" max="4" width="48" hidden="0" customWidth="1"/>
  </x:cols>
  <x:sheetData>
    <x:row r="1" ht="34" customHeight="1">
      <x:c r="A1" s="88" t="str">
        <x:v>Unit economics — cenário base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6" customHeight="1">
      <x:c r="A2" s="79" t="str">
        <x:v>Métricas formula-driven. CAC e churn são cenários, não histórico.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</x:row>
    <x:row r="4" ht="24" customHeight="1">
      <x:c r="A4" s="80" t="str">
        <x:v>Métrica</x:v>
      </x:c>
      <x:c r="B4" s="80" t="str">
        <x:v>Valor</x:v>
      </x:c>
      <x:c r="C4" s="80" t="str">
        <x:v>Fórmula</x:v>
      </x:c>
      <x:c r="D4" s="80" t="str">
        <x:v>Leitura</x:v>
      </x:c>
      <x:c r="E4" s="80"/>
      <x:c r="F4" s="80" t="str">
        <x:v>Churn × CAC</x:v>
      </x:c>
      <x:c r="G4" s="80"/>
      <x:c r="H4" s="80"/>
      <x:c r="I4" s="80"/>
      <x:c r="J4" s="80"/>
      <x:c r="K4" s="80"/>
      <x:c r="L4" s="80"/>
    </x:row>
    <x:row r="5" ht="28" customHeight="1">
      <x:c r="A5" s="81" t="str">
        <x:v>ARPA</x:v>
      </x:c>
      <x:c r="B5" s="82" t="n">
        <x:f>Premissas!$C$27</x:f>
        <x:v>208</x:v>
      </x:c>
      <x:c r="C5" s="81" t="str">
        <x:v>Mix de planos</x:v>
      </x:c>
      <x:c r="D5" s="81" t="str">
        <x:v>R$208 no cenário equilibrado</x:v>
      </x:c>
      <x:c r="E5" s="78"/>
      <x:c r="F5" s="100" t="str">
        <x:v>Churn</x:v>
      </x:c>
      <x:c r="G5" s="100" t="n">
        <x:v>300</x:v>
      </x:c>
      <x:c r="H5" s="100" t="n">
        <x:v>450</x:v>
      </x:c>
      <x:c r="I5" s="100" t="n">
        <x:v>650</x:v>
      </x:c>
      <x:c r="J5" s="100" t="n">
        <x:v>900</x:v>
      </x:c>
      <x:c r="K5" s="78"/>
      <x:c r="L5" s="78"/>
    </x:row>
    <x:row r="6">
      <x:c r="A6" s="81" t="str">
        <x:v>ARPU</x:v>
      </x:c>
      <x:c r="B6" s="82" t="n">
        <x:f>B5/2.2</x:f>
        <x:v>94.54545454545453</x:v>
      </x:c>
      <x:c r="C6" s="81" t="str">
        <x:v>ARPA / usuários médios</x:v>
      </x:c>
      <x:c r="D6" s="81" t="str">
        <x:v>Acompanhar quando multiusuário estiver real</x:v>
      </x:c>
      <x:c r="E6" s="78"/>
      <x:c r="F6" s="90" t="n">
        <x:v>0.015</x:v>
      </x:c>
      <x:c r="G6" s="85" t="n">
        <x:f>($B$5*$B$8/$F6)/G$5</x:f>
        <x:v>38.458949828222224</x:v>
      </x:c>
      <x:c r="H6" s="85" t="n">
        <x:f>($B$5*$B$8/$F6)/H$5</x:f>
        <x:v>25.63929988548148</x:v>
      </x:c>
      <x:c r="I6" s="85" t="n">
        <x:f>($B$5*$B$8/$F6)/I$5</x:f>
        <x:v>17.750284536102566</x:v>
      </x:c>
      <x:c r="J6" s="85" t="n">
        <x:f>($B$5*$B$8/$F6)/J$5</x:f>
        <x:v>12.81964994274074</x:v>
      </x:c>
      <x:c r="K6" s="78"/>
      <x:c r="L6" s="78"/>
    </x:row>
    <x:row r="7">
      <x:c r="A7" s="81" t="str">
        <x:v>COGS/conta</x:v>
      </x:c>
      <x:c r="B7" s="82" t="n">
        <x:f>Perfis_Uso!$B$13</x:f>
        <x:v>34.934725773</x:v>
      </x:c>
      <x:c r="C7" s="81" t="str">
        <x:v>Perfis + gateway</x:v>
      </x:c>
      <x:c r="D7" s="81" t="str">
        <x:v>Sem rateio de Opex</x:v>
      </x:c>
      <x:c r="E7" s="78"/>
      <x:c r="F7" s="90" t="n">
        <x:v>0.03</x:v>
      </x:c>
      <x:c r="G7" s="85" t="n">
        <x:f>($B$5*$B$8/$F7)/G$5</x:f>
        <x:v>19.229474914111112</x:v>
      </x:c>
      <x:c r="H7" s="85" t="n">
        <x:f>($B$5*$B$8/$F7)/H$5</x:f>
        <x:v>12.81964994274074</x:v>
      </x:c>
      <x:c r="I7" s="85" t="n">
        <x:f>($B$5*$B$8/$F7)/I$5</x:f>
        <x:v>8.875142268051283</x:v>
      </x:c>
      <x:c r="J7" s="85" t="n">
        <x:f>($B$5*$B$8/$F7)/J$5</x:f>
        <x:v>6.40982497137037</x:v>
      </x:c>
      <x:c r="K7" s="78"/>
      <x:c r="L7" s="78"/>
    </x:row>
    <x:row r="8">
      <x:c r="A8" s="81" t="str">
        <x:v>Gross Margin</x:v>
      </x:c>
      <x:c r="B8" s="84" t="n">
        <x:f>(B5-B7)/B5</x:f>
        <x:v>0.8320445876298077</x:v>
      </x:c>
      <x:c r="C8" s="81" t="str">
        <x:v>(Receita - COGS) / Receita</x:v>
      </x:c>
      <x:c r="D8" s="81" t="str">
        <x:v>Alvo &gt;=80%</x:v>
      </x:c>
      <x:c r="E8" s="78"/>
      <x:c r="F8" s="90" t="n">
        <x:v>0.06</x:v>
      </x:c>
      <x:c r="G8" s="85" t="n">
        <x:f>($B$5*$B$8/$F8)/G$5</x:f>
        <x:v>9.614737457055556</x:v>
      </x:c>
      <x:c r="H8" s="85" t="n">
        <x:f>($B$5*$B$8/$F8)/H$5</x:f>
        <x:v>6.40982497137037</x:v>
      </x:c>
      <x:c r="I8" s="85" t="n">
        <x:f>($B$5*$B$8/$F8)/I$5</x:f>
        <x:v>4.437571134025641</x:v>
      </x:c>
      <x:c r="J8" s="85" t="n">
        <x:f>($B$5*$B$8/$F8)/J$5</x:f>
        <x:v>3.204912485685185</x:v>
      </x:c>
      <x:c r="K8" s="78"/>
      <x:c r="L8" s="78"/>
    </x:row>
    <x:row r="9">
      <x:c r="A9" s="81" t="str">
        <x:v>Contribuição/conta</x:v>
      </x:c>
      <x:c r="B9" s="82" t="n">
        <x:f>B5-B7-B5*Premissas!$C$16</x:f>
        <x:v>151.225274227</x:v>
      </x:c>
      <x:c r="C9" s="81" t="str">
        <x:v>ARPA - COGS - tributos</x:v>
      </x:c>
      <x:c r="D9" s="81" t="str">
        <x:v>Tributo fora de GM</x:v>
      </x:c>
      <x:c r="E9" s="78"/>
      <x:c r="F9" s="90" t="n">
        <x:v>0.08</x:v>
      </x:c>
      <x:c r="G9" s="85" t="n">
        <x:f>($B$5*$B$8/$F9)/G$5</x:f>
        <x:v>7.211053092791667</x:v>
      </x:c>
      <x:c r="H9" s="85" t="n">
        <x:f>($B$5*$B$8/$F9)/H$5</x:f>
        <x:v>4.807368728527778</x:v>
      </x:c>
      <x:c r="I9" s="85" t="n">
        <x:f>($B$5*$B$8/$F9)/I$5</x:f>
        <x:v>3.328178350519231</x:v>
      </x:c>
      <x:c r="J9" s="85" t="n">
        <x:f>($B$5*$B$8/$F9)/J$5</x:f>
        <x:v>2.403684364263889</x:v>
      </x:c>
      <x:c r="K9" s="78"/>
      <x:c r="L9" s="78"/>
    </x:row>
    <x:row r="10">
      <x:c r="A10" s="81" t="str">
        <x:v>Churn mensal</x:v>
      </x:c>
      <x:c r="B10" s="84" t="n">
        <x:f>Premissas!$C$25</x:f>
        <x:v>0.03</x:v>
      </x:c>
      <x:c r="C10" s="81" t="str">
        <x:v>Input</x:v>
      </x:c>
      <x:c r="D10" s="81" t="str">
        <x:v>Sem histórico</x:v>
      </x:c>
      <x:c r="E10" s="78"/>
      <x:c r="F10" s="78"/>
      <x:c r="G10" s="78"/>
      <x:c r="H10" s="78"/>
      <x:c r="I10" s="78"/>
      <x:c r="J10" s="78"/>
      <x:c r="K10" s="78"/>
      <x:c r="L10" s="78"/>
    </x:row>
    <x:row r="11">
      <x:c r="A11" s="81" t="str">
        <x:v>CAC</x:v>
      </x:c>
      <x:c r="B11" s="82" t="n">
        <x:f>Premissas!$C$24</x:f>
        <x:v>450</x:v>
      </x:c>
      <x:c r="C11" s="81" t="str">
        <x:v>Input</x:v>
      </x:c>
      <x:c r="D11" s="81" t="str">
        <x:v>Sem histórico</x:v>
      </x:c>
      <x:c r="E11" s="78"/>
      <x:c r="F11" s="78"/>
      <x:c r="G11" s="78"/>
      <x:c r="H11" s="78"/>
      <x:c r="I11" s="78"/>
      <x:c r="J11" s="78"/>
      <x:c r="K11" s="78"/>
      <x:c r="L11" s="78"/>
    </x:row>
    <x:row r="12">
      <x:c r="A12" s="81" t="str">
        <x:v>LTV</x:v>
      </x:c>
      <x:c r="B12" s="82" t="n">
        <x:f>B5*B8/B10</x:f>
        <x:v>5768.842474233334</x:v>
      </x:c>
      <x:c r="C12" s="81" t="str">
        <x:v>ARPA × GM / churn</x:v>
      </x:c>
      <x:c r="D12" s="81" t="str">
        <x:v>Modelo simplificado</x:v>
      </x:c>
      <x:c r="E12" s="78"/>
      <x:c r="F12" s="78"/>
      <x:c r="G12" s="78"/>
      <x:c r="H12" s="78"/>
      <x:c r="I12" s="78"/>
      <x:c r="J12" s="78"/>
      <x:c r="K12" s="78"/>
      <x:c r="L12" s="78"/>
    </x:row>
    <x:row r="13">
      <x:c r="A13" s="81" t="str">
        <x:v>LTV/CAC</x:v>
      </x:c>
      <x:c r="B13" s="85" t="n">
        <x:f>B12/B11</x:f>
        <x:v>12.81964994274074</x:v>
      </x:c>
      <x:c r="C13" s="81" t="str">
        <x:v>LTV / CAC</x:v>
      </x:c>
      <x:c r="D13" s="81" t="str">
        <x:v>Meta &gt;=3x; &gt;5x pode indicar subinvestimento</x:v>
      </x:c>
      <x:c r="E13" s="78"/>
      <x:c r="F13" s="78"/>
      <x:c r="G13" s="78"/>
      <x:c r="H13" s="78"/>
      <x:c r="I13" s="78"/>
      <x:c r="J13" s="78"/>
      <x:c r="K13" s="78"/>
      <x:c r="L13" s="78"/>
    </x:row>
    <x:row r="14">
      <x:c r="A14" s="81" t="str">
        <x:v>Payback</x:v>
      </x:c>
      <x:c r="B14" s="86" t="n">
        <x:f>B11/B9</x:f>
        <x:v>2.9756930665208627</x:v>
      </x:c>
      <x:c r="C14" s="81" t="str">
        <x:v>CAC / contribuição mensal</x:v>
      </x:c>
      <x:c r="D14" s="81" t="str">
        <x:v>Meta &lt;12 meses</x:v>
      </x:c>
      <x:c r="E14" s="78"/>
      <x:c r="F14" s="78"/>
      <x:c r="G14" s="78"/>
      <x:c r="H14" s="78"/>
      <x:c r="I14" s="78"/>
      <x:c r="J14" s="78"/>
      <x:c r="K14" s="78"/>
      <x:c r="L14" s="78"/>
    </x:row>
    <x:row r="15">
      <x:c r="A15" s="81" t="str">
        <x:v>Break-even tech</x:v>
      </x:c>
      <x:c r="B15" s="87" t="n">
        <x:f>ROUNDUP(Premissas!$C$20/B9,0)</x:f>
        <x:v>2</x:v>
      </x:c>
      <x:c r="C15" s="81" t="str">
        <x:v>Fixos tech / contribuição</x:v>
      </x:c>
      <x:c r="D15" s="81" t="str">
        <x:v>Sem Opex humano</x:v>
      </x:c>
      <x:c r="E15" s="78"/>
      <x:c r="F15" s="78"/>
      <x:c r="G15" s="78"/>
      <x:c r="H15" s="78"/>
      <x:c r="I15" s="78"/>
      <x:c r="J15" s="78"/>
      <x:c r="K15" s="78"/>
      <x:c r="L15" s="78"/>
    </x:row>
    <x:row r="16">
      <x:c r="A16" s="81" t="str">
        <x:v>Break-even lean</x:v>
      </x:c>
      <x:c r="B16" s="87" t="n">
        <x:f>ROUNDUP(Premissas!$C$21/B9,0)</x:f>
        <x:v>53</x:v>
      </x:c>
      <x:c r="C16" s="81" t="str">
        <x:v>Opex lean / contribuição</x:v>
      </x:c>
      <x:c r="D16" s="81" t="str">
        <x:v>Envelope assumido</x:v>
      </x:c>
      <x:c r="E16" s="78"/>
      <x:c r="F16" s="78"/>
      <x:c r="G16" s="78"/>
      <x:c r="H16" s="78"/>
      <x:c r="I16" s="78"/>
      <x:c r="J16" s="78"/>
      <x:c r="K16" s="78"/>
      <x:c r="L16" s="78"/>
    </x:row>
    <x:row r="17">
      <x:c r="A17" s="81" t="str">
        <x:v>Break-even base</x:v>
      </x:c>
      <x:c r="B17" s="87" t="n">
        <x:f>ROUNDUP(Premissas!$C$22/B9,0)</x:f>
        <x:v>166</x:v>
      </x:c>
      <x:c r="C17" s="81" t="str">
        <x:v>Opex base / contribuição</x:v>
      </x:c>
      <x:c r="D17" s="81" t="str">
        <x:v>Envelope assumido</x:v>
      </x:c>
      <x:c r="E17" s="78"/>
      <x:c r="F17" s="78"/>
      <x:c r="G17" s="78"/>
      <x:c r="H17" s="78"/>
      <x:c r="I17" s="78"/>
      <x:c r="J17" s="78"/>
      <x:c r="K17" s="78"/>
      <x:c r="L17" s="78"/>
    </x:row>
    <x:row r="18">
      <x:c r="A18" s="81" t="str">
        <x:v>Break-even growth</x:v>
      </x:c>
      <x:c r="B18" s="87" t="n">
        <x:f>ROUNDUP(Premissas!$C$23/B9,0)</x:f>
        <x:v>397</x:v>
      </x:c>
      <x:c r="C18" s="81" t="str">
        <x:v>Opex growth / contribuição</x:v>
      </x:c>
      <x:c r="D18" s="81" t="str">
        <x:v>Envelope assumido</x:v>
      </x:c>
      <x:c r="E18" s="78"/>
      <x:c r="F18" s="78"/>
      <x:c r="G18" s="78"/>
      <x:c r="H18" s="78"/>
      <x:c r="I18" s="78"/>
      <x:c r="J18" s="78"/>
      <x:c r="K18" s="78"/>
      <x:c r="L18" s="78"/>
    </x:row>
    <x:row r="19">
      <x:c r="A19" s="81" t="str">
        <x:v>Break-even MRR base</x:v>
      </x:c>
      <x:c r="B19" s="82" t="n">
        <x:f>B17*B5</x:f>
        <x:v>34528</x:v>
      </x:c>
      <x:c r="C19" s="81" t="str">
        <x:v>BE contas × ARPA</x:v>
      </x:c>
      <x:c r="D19" s="81" t="str">
        <x:v>Operação base</x:v>
      </x:c>
      <x:c r="E19" s="78"/>
      <x:c r="F19" s="78"/>
      <x:c r="G19" s="78"/>
      <x:c r="H19" s="78"/>
      <x:c r="I19" s="78"/>
      <x:c r="J19" s="78"/>
      <x:c r="K19" s="78"/>
      <x:c r="L19" s="78"/>
    </x:row>
  </x:sheetData>
  <x:mergeCells>
    <x:mergeCell ref="A1:L1"/>
    <x:mergeCell ref="A2:L2"/>
    <x:mergeCell ref="F4:L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88" t="str">
        <x:v>Modelo de CAC por canal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</x:row>
    <x:row r="2" ht="26" customHeight="1">
      <x:c r="A2" s="79" t="str">
        <x:v>Funil de aquisição hipotético. Substitua pelos dados dos primeiros experimentos.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24" customHeight="1">
      <x:c r="A4" s="80" t="str">
        <x:v>Cenário</x:v>
      </x:c>
      <x:c r="B4" s="80" t="str">
        <x:v>Canal</x:v>
      </x:c>
      <x:c r="C4" s="80" t="str">
        <x:v>Investimento</x:v>
      </x:c>
      <x:c r="D4" s="80" t="str">
        <x:v>CPM</x:v>
      </x:c>
      <x:c r="E4" s="80" t="str">
        <x:v>Impressões</x:v>
      </x:c>
      <x:c r="F4" s="80" t="str">
        <x:v>CTR</x:v>
      </x:c>
      <x:c r="G4" s="80" t="str">
        <x:v>Cliques</x:v>
      </x:c>
      <x:c r="H4" s="80" t="str">
        <x:v>CPC</x:v>
      </x:c>
      <x:c r="I4" s="80" t="str">
        <x:v>Conv. lead</x:v>
      </x:c>
      <x:c r="J4" s="80" t="str">
        <x:v>Leads</x:v>
      </x:c>
      <x:c r="K4" s="80" t="str">
        <x:v>Lead→trial</x:v>
      </x:c>
      <x:c r="L4" s="80" t="str">
        <x:v>Trials</x:v>
      </x:c>
      <x:c r="M4" s="80" t="str">
        <x:v>Trial→pago</x:v>
      </x:c>
      <x:c r="N4" s="80" t="str">
        <x:v>CAC</x:v>
      </x:c>
    </x:row>
    <x:row r="5">
      <x:c r="A5" s="81" t="str">
        <x:v>Pessimista</x:v>
      </x:c>
      <x:c r="B5" s="81" t="str">
        <x:v>Meta Ads</x:v>
      </x:c>
      <x:c r="C5" s="89" t="n">
        <x:v>10000</x:v>
      </x:c>
      <x:c r="D5" s="89" t="n">
        <x:v>45</x:v>
      </x:c>
      <x:c r="E5" s="101" t="n">
        <x:f>C5/D5*1000</x:f>
        <x:v>222222.22222222222</x:v>
      </x:c>
      <x:c r="F5" s="90" t="n">
        <x:v>0.008</x:v>
      </x:c>
      <x:c r="G5" s="89" t="n">
        <x:f>E5*F5</x:f>
        <x:v>1777.7777777777778</x:v>
      </x:c>
      <x:c r="H5" s="82" t="n">
        <x:f>C5/G5</x:f>
        <x:v>5.625</x:v>
      </x:c>
      <x:c r="I5" s="90" t="n">
        <x:v>0.06</x:v>
      </x:c>
      <x:c r="J5" s="102" t="n">
        <x:f>G5*I5</x:f>
        <x:v>106.66666666666667</x:v>
      </x:c>
      <x:c r="K5" s="90" t="n">
        <x:v>0.2</x:v>
      </x:c>
      <x:c r="L5" s="102" t="n">
        <x:f>J5*K5</x:f>
        <x:v>21.333333333333336</x:v>
      </x:c>
      <x:c r="M5" s="90" t="n">
        <x:v>0.12</x:v>
      </x:c>
      <x:c r="N5" s="82" t="n">
        <x:f>C5/(L5*M5)</x:f>
        <x:v>3906.25</x:v>
      </x:c>
    </x:row>
    <x:row r="6">
      <x:c r="A6" s="81" t="str">
        <x:v>Base</x:v>
      </x:c>
      <x:c r="B6" s="81" t="str">
        <x:v>Meta Ads</x:v>
      </x:c>
      <x:c r="C6" s="89" t="n">
        <x:v>10000</x:v>
      </x:c>
      <x:c r="D6" s="89" t="n">
        <x:v>35</x:v>
      </x:c>
      <x:c r="E6" s="101" t="n">
        <x:f>C6/D6*1000</x:f>
        <x:v>285714.28571428574</x:v>
      </x:c>
      <x:c r="F6" s="90" t="n">
        <x:v>0.012</x:v>
      </x:c>
      <x:c r="G6" s="89" t="n">
        <x:f>E6*F6</x:f>
        <x:v>3428.571428571429</x:v>
      </x:c>
      <x:c r="H6" s="82" t="n">
        <x:f>C6/G6</x:f>
        <x:v>2.9166666666666665</x:v>
      </x:c>
      <x:c r="I6" s="90" t="n">
        <x:v>0.08</x:v>
      </x:c>
      <x:c r="J6" s="102" t="n">
        <x:f>G6*I6</x:f>
        <x:v>274.28571428571433</x:v>
      </x:c>
      <x:c r="K6" s="90" t="n">
        <x:v>0.28</x:v>
      </x:c>
      <x:c r="L6" s="102" t="n">
        <x:f>J6*K6</x:f>
        <x:v>76.80000000000003</x:v>
      </x:c>
      <x:c r="M6" s="90" t="n">
        <x:v>0.2</x:v>
      </x:c>
      <x:c r="N6" s="82" t="n">
        <x:f>C6/(L6*M6)</x:f>
        <x:v>651.0416666666664</x:v>
      </x:c>
    </x:row>
    <x:row r="7">
      <x:c r="A7" s="81" t="str">
        <x:v>Otimista</x:v>
      </x:c>
      <x:c r="B7" s="81" t="str">
        <x:v>Meta Ads</x:v>
      </x:c>
      <x:c r="C7" s="89" t="n">
        <x:v>10000</x:v>
      </x:c>
      <x:c r="D7" s="89" t="n">
        <x:v>25</x:v>
      </x:c>
      <x:c r="E7" s="101" t="n">
        <x:f>C7/D7*1000</x:f>
        <x:v>400000</x:v>
      </x:c>
      <x:c r="F7" s="90" t="n">
        <x:v>0.018</x:v>
      </x:c>
      <x:c r="G7" s="89" t="n">
        <x:f>E7*F7</x:f>
        <x:v>7199.999999999999</x:v>
      </x:c>
      <x:c r="H7" s="82" t="n">
        <x:f>C7/G7</x:f>
        <x:v>1.388888888888889</x:v>
      </x:c>
      <x:c r="I7" s="90" t="n">
        <x:v>0.12</x:v>
      </x:c>
      <x:c r="J7" s="102" t="n">
        <x:f>G7*I7</x:f>
        <x:v>863.9999999999999</x:v>
      </x:c>
      <x:c r="K7" s="90" t="n">
        <x:v>0.35</x:v>
      </x:c>
      <x:c r="L7" s="102" t="n">
        <x:f>J7*K7</x:f>
        <x:v>302.3999999999999</x:v>
      </x:c>
      <x:c r="M7" s="90" t="n">
        <x:v>0.28</x:v>
      </x:c>
      <x:c r="N7" s="82" t="n">
        <x:f>C7/(L7*M7)</x:f>
        <x:v>118.10279667422527</x:v>
      </x:c>
    </x:row>
    <x:row r="8">
      <x:c r="A8" s="81" t="str">
        <x:v>Pessimista</x:v>
      </x:c>
      <x:c r="B8" s="81" t="str">
        <x:v>Google Search</x:v>
      </x:c>
      <x:c r="C8" s="89" t="n">
        <x:v>10000</x:v>
      </x:c>
      <x:c r="D8" s="89"/>
      <x:c r="E8" s="89"/>
      <x:c r="F8" s="89"/>
      <x:c r="G8" s="89" t="n">
        <x:v>800</x:v>
      </x:c>
      <x:c r="H8" s="82" t="n">
        <x:f>C8/G8</x:f>
        <x:v>12.5</x:v>
      </x:c>
      <x:c r="I8" s="90" t="n">
        <x:v>0.08</x:v>
      </x:c>
      <x:c r="J8" s="102" t="n">
        <x:f>G8*I8</x:f>
        <x:v>64</x:v>
      </x:c>
      <x:c r="K8" s="90" t="n">
        <x:v>0.25</x:v>
      </x:c>
      <x:c r="L8" s="102" t="n">
        <x:f>J8*K8</x:f>
        <x:v>16</x:v>
      </x:c>
      <x:c r="M8" s="90" t="n">
        <x:v>0.15</x:v>
      </x:c>
      <x:c r="N8" s="82" t="n">
        <x:f>C8/(L8*M8)</x:f>
        <x:v>4166.666666666667</x:v>
      </x:c>
    </x:row>
    <x:row r="9">
      <x:c r="A9" s="81" t="str">
        <x:v>Base</x:v>
      </x:c>
      <x:c r="B9" s="81" t="str">
        <x:v>Google Search</x:v>
      </x:c>
      <x:c r="C9" s="89" t="n">
        <x:v>10000</x:v>
      </x:c>
      <x:c r="D9" s="89"/>
      <x:c r="E9" s="89"/>
      <x:c r="F9" s="89"/>
      <x:c r="G9" s="89" t="n">
        <x:v>1200</x:v>
      </x:c>
      <x:c r="H9" s="82" t="n">
        <x:f>C9/G9</x:f>
        <x:v>8.333333333333334</x:v>
      </x:c>
      <x:c r="I9" s="90" t="n">
        <x:v>0.12</x:v>
      </x:c>
      <x:c r="J9" s="102" t="n">
        <x:f>G9*I9</x:f>
        <x:v>144</x:v>
      </x:c>
      <x:c r="K9" s="90" t="n">
        <x:v>0.32</x:v>
      </x:c>
      <x:c r="L9" s="102" t="n">
        <x:f>J9*K9</x:f>
        <x:v>46.08</x:v>
      </x:c>
      <x:c r="M9" s="90" t="n">
        <x:v>0.22</x:v>
      </x:c>
      <x:c r="N9" s="82" t="n">
        <x:f>C9/(L9*M9)</x:f>
        <x:v>986.4267676767678</x:v>
      </x:c>
    </x:row>
    <x:row r="10">
      <x:c r="A10" s="81" t="str">
        <x:v>Otimista</x:v>
      </x:c>
      <x:c r="B10" s="81" t="str">
        <x:v>Google Search</x:v>
      </x:c>
      <x:c r="C10" s="89" t="n">
        <x:v>10000</x:v>
      </x:c>
      <x:c r="D10" s="89"/>
      <x:c r="E10" s="89"/>
      <x:c r="F10" s="89"/>
      <x:c r="G10" s="89" t="n">
        <x:v>1800</x:v>
      </x:c>
      <x:c r="H10" s="82" t="n">
        <x:f>C10/G10</x:f>
        <x:v>5.555555555555555</x:v>
      </x:c>
      <x:c r="I10" s="90" t="n">
        <x:v>0.18</x:v>
      </x:c>
      <x:c r="J10" s="102" t="n">
        <x:f>G10*I10</x:f>
        <x:v>324</x:v>
      </x:c>
      <x:c r="K10" s="90" t="n">
        <x:v>0.4</x:v>
      </x:c>
      <x:c r="L10" s="102" t="n">
        <x:f>J10*K10</x:f>
        <x:v>129.6</x:v>
      </x:c>
      <x:c r="M10" s="90" t="n">
        <x:v>0.3</x:v>
      </x:c>
      <x:c r="N10" s="82" t="n">
        <x:f>C10/(L10*M10)</x:f>
        <x:v>257.201646090535</x:v>
      </x:c>
    </x:row>
    <x:row r="11">
      <x:c r="A11" s="81" t="str">
        <x:v>Pessimista</x:v>
      </x:c>
      <x:c r="B11" s="81" t="str">
        <x:v>Outbound/WhatsApp</x:v>
      </x:c>
      <x:c r="C11" s="89" t="n">
        <x:v>6000</x:v>
      </x:c>
      <x:c r="D11" s="89"/>
      <x:c r="E11" s="89"/>
      <x:c r="F11" s="89"/>
      <x:c r="G11" s="89" t="n">
        <x:v>300</x:v>
      </x:c>
      <x:c r="H11" s="82" t="n">
        <x:f>C11/G11</x:f>
        <x:v>20</x:v>
      </x:c>
      <x:c r="I11" s="90" t="n">
        <x:v>0.1</x:v>
      </x:c>
      <x:c r="J11" s="102" t="n">
        <x:f>G11*I11</x:f>
        <x:v>30</x:v>
      </x:c>
      <x:c r="K11" s="90" t="n">
        <x:v>0.3</x:v>
      </x:c>
      <x:c r="L11" s="102" t="n">
        <x:f>J11*K11</x:f>
        <x:v>9</x:v>
      </x:c>
      <x:c r="M11" s="90" t="n">
        <x:v>0.2</x:v>
      </x:c>
      <x:c r="N11" s="82" t="n">
        <x:f>C11/(L11*M11)</x:f>
        <x:v>3333.333333333333</x:v>
      </x:c>
    </x:row>
    <x:row r="12">
      <x:c r="A12" s="81" t="str">
        <x:v>Base</x:v>
      </x:c>
      <x:c r="B12" s="81" t="str">
        <x:v>Outbound/WhatsApp</x:v>
      </x:c>
      <x:c r="C12" s="89" t="n">
        <x:v>6000</x:v>
      </x:c>
      <x:c r="D12" s="89"/>
      <x:c r="E12" s="89"/>
      <x:c r="F12" s="89"/>
      <x:c r="G12" s="89" t="n">
        <x:v>500</x:v>
      </x:c>
      <x:c r="H12" s="82" t="n">
        <x:f>C12/G12</x:f>
        <x:v>12</x:v>
      </x:c>
      <x:c r="I12" s="90" t="n">
        <x:v>0.16</x:v>
      </x:c>
      <x:c r="J12" s="102" t="n">
        <x:f>G12*I12</x:f>
        <x:v>80</x:v>
      </x:c>
      <x:c r="K12" s="90" t="n">
        <x:v>0.35</x:v>
      </x:c>
      <x:c r="L12" s="102" t="n">
        <x:f>J12*K12</x:f>
        <x:v>28</x:v>
      </x:c>
      <x:c r="M12" s="90" t="n">
        <x:v>0.28</x:v>
      </x:c>
      <x:c r="N12" s="82" t="n">
        <x:f>C12/(L12*M12)</x:f>
        <x:v>765.3061224489795</x:v>
      </x:c>
    </x:row>
    <x:row r="13">
      <x:c r="A13" s="81" t="str">
        <x:v>Otimista</x:v>
      </x:c>
      <x:c r="B13" s="81" t="str">
        <x:v>Outbound/WhatsApp</x:v>
      </x:c>
      <x:c r="C13" s="89" t="n">
        <x:v>6000</x:v>
      </x:c>
      <x:c r="D13" s="89"/>
      <x:c r="E13" s="89"/>
      <x:c r="F13" s="89"/>
      <x:c r="G13" s="89" t="n">
        <x:v>800</x:v>
      </x:c>
      <x:c r="H13" s="82" t="n">
        <x:f>C13/G13</x:f>
        <x:v>7.5</x:v>
      </x:c>
      <x:c r="I13" s="90" t="n">
        <x:v>0.22</x:v>
      </x:c>
      <x:c r="J13" s="102" t="n">
        <x:f>G13*I13</x:f>
        <x:v>176</x:v>
      </x:c>
      <x:c r="K13" s="90" t="n">
        <x:v>0.42</x:v>
      </x:c>
      <x:c r="L13" s="102" t="n">
        <x:f>J13*K13</x:f>
        <x:v>73.92</x:v>
      </x:c>
      <x:c r="M13" s="90" t="n">
        <x:v>0.35</x:v>
      </x:c>
      <x:c r="N13" s="82" t="n">
        <x:f>C13/(L13*M13)</x:f>
        <x:v>231.9109461966605</x:v>
      </x:c>
    </x:row>
    <x:row r="14">
      <x:c r="A14" s="81" t="str">
        <x:v>Pessimista</x:v>
      </x:c>
      <x:c r="B14" s="81" t="str">
        <x:v>Indicação/parcerias</x:v>
      </x:c>
      <x:c r="C14" s="89" t="n">
        <x:v>3000</x:v>
      </x:c>
      <x:c r="D14" s="89"/>
      <x:c r="E14" s="89"/>
      <x:c r="F14" s="89"/>
      <x:c r="G14" s="89" t="n">
        <x:v>100</x:v>
      </x:c>
      <x:c r="H14" s="82" t="n">
        <x:f>C14/G14</x:f>
        <x:v>30</x:v>
      </x:c>
      <x:c r="I14" s="90" t="n">
        <x:v>0.25</x:v>
      </x:c>
      <x:c r="J14" s="102" t="n">
        <x:f>G14*I14</x:f>
        <x:v>25</x:v>
      </x:c>
      <x:c r="K14" s="90" t="n">
        <x:v>0.5</x:v>
      </x:c>
      <x:c r="L14" s="102" t="n">
        <x:f>J14*K14</x:f>
        <x:v>12.5</x:v>
      </x:c>
      <x:c r="M14" s="90" t="n">
        <x:v>0.35</x:v>
      </x:c>
      <x:c r="N14" s="82" t="n">
        <x:f>C14/(L14*M14)</x:f>
        <x:v>685.7142857142857</x:v>
      </x:c>
    </x:row>
    <x:row r="15">
      <x:c r="A15" s="81" t="str">
        <x:v>Base</x:v>
      </x:c>
      <x:c r="B15" s="81" t="str">
        <x:v>Indicação/parcerias</x:v>
      </x:c>
      <x:c r="C15" s="89" t="n">
        <x:v>3000</x:v>
      </x:c>
      <x:c r="D15" s="89"/>
      <x:c r="E15" s="89"/>
      <x:c r="F15" s="89"/>
      <x:c r="G15" s="89" t="n">
        <x:v>180</x:v>
      </x:c>
      <x:c r="H15" s="82" t="n">
        <x:f>C15/G15</x:f>
        <x:v>16.666666666666668</x:v>
      </x:c>
      <x:c r="I15" s="90" t="n">
        <x:v>0.35</x:v>
      </x:c>
      <x:c r="J15" s="102" t="n">
        <x:f>G15*I15</x:f>
        <x:v>62.99999999999999</x:v>
      </x:c>
      <x:c r="K15" s="90" t="n">
        <x:v>0.6</x:v>
      </x:c>
      <x:c r="L15" s="102" t="n">
        <x:f>J15*K15</x:f>
        <x:v>37.8</x:v>
      </x:c>
      <x:c r="M15" s="90" t="n">
        <x:v>0.45</x:v>
      </x:c>
      <x:c r="N15" s="82" t="n">
        <x:f>C15/(L15*M15)</x:f>
        <x:v>176.36684303350972</x:v>
      </x:c>
    </x:row>
    <x:row r="16">
      <x:c r="A16" s="81" t="str">
        <x:v>Otimista</x:v>
      </x:c>
      <x:c r="B16" s="81" t="str">
        <x:v>Indicação/parcerias</x:v>
      </x:c>
      <x:c r="C16" s="89" t="n">
        <x:v>3000</x:v>
      </x:c>
      <x:c r="D16" s="89"/>
      <x:c r="E16" s="89"/>
      <x:c r="F16" s="89"/>
      <x:c r="G16" s="89" t="n">
        <x:v>300</x:v>
      </x:c>
      <x:c r="H16" s="82" t="n">
        <x:f>C16/G16</x:f>
        <x:v>10</x:v>
      </x:c>
      <x:c r="I16" s="90" t="n">
        <x:v>0.45</x:v>
      </x:c>
      <x:c r="J16" s="102" t="n">
        <x:f>G16*I16</x:f>
        <x:v>135</x:v>
      </x:c>
      <x:c r="K16" s="90" t="n">
        <x:v>0.7</x:v>
      </x:c>
      <x:c r="L16" s="102" t="n">
        <x:f>J16*K16</x:f>
        <x:v>94.5</x:v>
      </x:c>
      <x:c r="M16" s="90" t="n">
        <x:v>0.55</x:v>
      </x:c>
      <x:c r="N16" s="82" t="n">
        <x:f>C16/(L16*M16)</x:f>
        <x:v>57.72005772005772</x:v>
      </x:c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</x:row>
    <x:row r="18" ht="50" customHeight="1">
      <x:c r="A18" s="103" t="str">
        <x:v>Leitura: não há CAC histórico. O mix recomendado começa por indicação/parcerias e outbound altamente segmentado, e só escala mídia paga depois que ativação, trial→pago e churn forem instrumentados.</x:v>
      </x:c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</x:row>
  </x:sheetData>
  <x:mergeCells>
    <x:mergeCell ref="A1:N1"/>
    <x:mergeCell ref="A2:N2"/>
    <x:mergeCell ref="A18:N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34" customHeight="1">
      <x:c r="A1" s="88" t="str">
        <x:v>Projeção de 24 meses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  <x:c r="AA1" s="78"/>
      <x:c r="AB1" s="78"/>
      <x:c r="AC1" s="78"/>
      <x:c r="AD1" s="78"/>
      <x:c r="AE1" s="78"/>
    </x:row>
    <x:row r="2" ht="26" customHeight="1">
      <x:c r="A2" s="79" t="str">
        <x:v>Três cenários assumidos. MRR/ARR e resultados respondem às premissas de churn, aquisição e Opex.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  <x:c r="AA3" s="78"/>
      <x:c r="AB3" s="78"/>
      <x:c r="AC3" s="78"/>
      <x:c r="AD3" s="78"/>
      <x:c r="AE3" s="78"/>
    </x:row>
    <x:row r="4" ht="24" customHeight="1">
      <x:c r="A4" s="80" t="str">
        <x:v>Cenário</x:v>
      </x:c>
      <x:c r="B4" s="80" t="str">
        <x:v>Contas iniciais</x:v>
      </x:c>
      <x:c r="C4" s="80" t="str">
        <x:v>Novas M1</x:v>
      </x:c>
      <x:c r="D4" s="80" t="str">
        <x:v>Crescimento novas/mês</x:v>
      </x:c>
      <x:c r="E4" s="80" t="str">
        <x:v>Churn</x:v>
      </x:c>
      <x:c r="F4" s="80" t="str">
        <x:v>CAC</x:v>
      </x:c>
      <x:c r="G4" s="80" t="str">
        <x:v>Opex M1-12</x:v>
      </x:c>
      <x:c r="H4" s="80" t="str">
        <x:v>Opex M13-24</x:v>
      </x:c>
      <x:c r="I4" s="80" t="str">
        <x:v>ARPA</x:v>
      </x:c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  <x:c r="AA4" s="80"/>
      <x:c r="AB4" s="80"/>
      <x:c r="AC4" s="80"/>
      <x:c r="AD4" s="80"/>
      <x:c r="AE4" s="80"/>
    </x:row>
    <x:row r="5">
      <x:c r="A5" s="81" t="str">
        <x:v>Conservador</x:v>
      </x:c>
      <x:c r="B5" s="89" t="n">
        <x:v>10</x:v>
      </x:c>
      <x:c r="C5" s="89" t="n">
        <x:v>5</x:v>
      </x:c>
      <x:c r="D5" s="90" t="n">
        <x:v>0.02</x:v>
      </x:c>
      <x:c r="E5" s="90" t="n">
        <x:v>0.06</x:v>
      </x:c>
      <x:c r="F5" s="89" t="n">
        <x:v>900</x:v>
      </x:c>
      <x:c r="G5" s="89" t="n">
        <x:v>8000</x:v>
      </x:c>
      <x:c r="H5" s="89" t="n">
        <x:v>12000</x:v>
      </x:c>
      <x:c r="I5" s="89" t="n">
        <x:v>208</x:v>
      </x:c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</x:row>
    <x:row r="6">
      <x:c r="A6" s="81" t="str">
        <x:v>Base</x:v>
      </x:c>
      <x:c r="B6" s="89" t="n">
        <x:v>10</x:v>
      </x:c>
      <x:c r="C6" s="89" t="n">
        <x:v>12</x:v>
      </x:c>
      <x:c r="D6" s="90" t="n">
        <x:v>0.04</x:v>
      </x:c>
      <x:c r="E6" s="90" t="n">
        <x:v>0.03</x:v>
      </x:c>
      <x:c r="F6" s="89" t="n">
        <x:v>450</x:v>
      </x:c>
      <x:c r="G6" s="89" t="n">
        <x:v>25000</x:v>
      </x:c>
      <x:c r="H6" s="89" t="n">
        <x:v>25000</x:v>
      </x:c>
      <x:c r="I6" s="89" t="n">
        <x:v>208</x:v>
      </x:c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</x:row>
    <x:row r="7">
      <x:c r="A7" s="81" t="str">
        <x:v>Agressivo</x:v>
      </x:c>
      <x:c r="B7" s="89" t="n">
        <x:v>20</x:v>
      </x:c>
      <x:c r="C7" s="89" t="n">
        <x:v>30</x:v>
      </x:c>
      <x:c r="D7" s="90" t="n">
        <x:v>0.06</x:v>
      </x:c>
      <x:c r="E7" s="90" t="n">
        <x:v>0.015</x:v>
      </x:c>
      <x:c r="F7" s="89" t="n">
        <x:v>650</x:v>
      </x:c>
      <x:c r="G7" s="89" t="n">
        <x:v>60000</x:v>
      </x:c>
      <x:c r="H7" s="89" t="n">
        <x:v>60000</x:v>
      </x:c>
      <x:c r="I7" s="89" t="n">
        <x:v>208</x:v>
      </x:c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  <x:c r="AA7" s="78"/>
      <x:c r="AB7" s="78"/>
      <x:c r="AC7" s="78"/>
      <x:c r="AD7" s="78"/>
      <x:c r="AE7" s="78"/>
    </x:row>
    <x:row r="8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  <x:c r="AA8" s="78"/>
      <x:c r="AB8" s="78"/>
      <x:c r="AC8" s="78"/>
      <x:c r="AD8" s="78"/>
      <x:c r="AE8" s="78"/>
    </x:row>
    <x:row r="9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  <x:c r="AA9" s="78"/>
      <x:c r="AB9" s="78"/>
      <x:c r="AC9" s="78"/>
      <x:c r="AD9" s="78"/>
      <x:c r="AE9" s="78"/>
    </x:row>
    <x:row r="10" ht="28" customHeight="1">
      <x:c r="A10" s="94" t="str">
        <x:v>Mês</x:v>
      </x:c>
      <x:c r="B10" s="94" t="str">
        <x:v>Novos</x:v>
      </x:c>
      <x:c r="C10" s="94" t="str">
        <x:v>Churned</x:v>
      </x:c>
      <x:c r="D10" s="94" t="str">
        <x:v>Contas finais</x:v>
      </x:c>
      <x:c r="E10" s="94" t="str">
        <x:v>MRR</x:v>
      </x:c>
      <x:c r="F10" s="94" t="str">
        <x:v>COGS</x:v>
      </x:c>
      <x:c r="G10" s="94" t="str">
        <x:v>Aquisição</x:v>
      </x:c>
      <x:c r="H10" s="94" t="str">
        <x:v>Opex</x:v>
      </x:c>
      <x:c r="I10" s="94" t="str">
        <x:v>Resultado</x:v>
      </x:c>
      <x:c r="J10" s="78"/>
      <x:c r="K10" s="94" t="str">
        <x:v>Mês</x:v>
      </x:c>
      <x:c r="L10" s="94" t="str">
        <x:v>Novos</x:v>
      </x:c>
      <x:c r="M10" s="94" t="str">
        <x:v>Churned</x:v>
      </x:c>
      <x:c r="N10" s="94" t="str">
        <x:v>Contas finais</x:v>
      </x:c>
      <x:c r="O10" s="94" t="str">
        <x:v>MRR</x:v>
      </x:c>
      <x:c r="P10" s="94" t="str">
        <x:v>COGS</x:v>
      </x:c>
      <x:c r="Q10" s="94" t="str">
        <x:v>Aquisição</x:v>
      </x:c>
      <x:c r="R10" s="94" t="str">
        <x:v>Opex</x:v>
      </x:c>
      <x:c r="S10" s="94" t="str">
        <x:v>Resultado</x:v>
      </x:c>
      <x:c r="T10" s="78"/>
      <x:c r="U10" s="94" t="str">
        <x:v>Mês</x:v>
      </x:c>
      <x:c r="V10" s="94" t="str">
        <x:v>Novos</x:v>
      </x:c>
      <x:c r="W10" s="94" t="str">
        <x:v>Churned</x:v>
      </x:c>
      <x:c r="X10" s="94" t="str">
        <x:v>Contas finais</x:v>
      </x:c>
      <x:c r="Y10" s="94" t="str">
        <x:v>MRR</x:v>
      </x:c>
      <x:c r="Z10" s="94" t="str">
        <x:v>COGS</x:v>
      </x:c>
      <x:c r="AA10" s="94" t="str">
        <x:v>Aquisição</x:v>
      </x:c>
      <x:c r="AB10" s="94" t="str">
        <x:v>Opex</x:v>
      </x:c>
      <x:c r="AC10" s="94" t="str">
        <x:v>Resultado</x:v>
      </x:c>
      <x:c r="AD10" s="78"/>
      <x:c r="AE10" s="78"/>
    </x:row>
    <x:row r="11">
      <x:c r="A11" s="104" t="n">
        <x:v>1</x:v>
      </x:c>
      <x:c r="B11" s="102" t="n">
        <x:f>$C$5*(1+$D$5)^(A11-1)</x:f>
        <x:v>5</x:v>
      </x:c>
      <x:c r="C11" s="102" t="n">
        <x:f>$B$5*$E$5</x:f>
        <x:v>0.6</x:v>
      </x:c>
      <x:c r="D11" s="101" t="n">
        <x:f>$B$5+B11-C11</x:f>
        <x:v>14.4</x:v>
      </x:c>
      <x:c r="E11" s="101" t="n">
        <x:f>D11*$I$5</x:f>
        <x:v>2995.2000000000003</x:v>
      </x:c>
      <x:c r="F11" s="101" t="n">
        <x:f>D11*Perfis_Uso!$B$13+Premissas!$C$20</x:f>
        <x:v>735.4400511311999</x:v>
      </x:c>
      <x:c r="G11" s="101" t="n">
        <x:f>B11*$F$5</x:f>
        <x:v>4500</x:v>
      </x:c>
      <x:c r="H11" s="101" t="n">
        <x:f>IF(A11&lt;=12,$G$5,$H$5)</x:f>
        <x:v>8000</x:v>
      </x:c>
      <x:c r="I11" s="101" t="n">
        <x:f>E11-F11-E11*Premissas!$C$16-G11-H11</x:f>
        <x:v>-10554.7360511312</x:v>
      </x:c>
      <x:c r="J11" s="78"/>
      <x:c r="K11" s="104" t="n">
        <x:v>1</x:v>
      </x:c>
      <x:c r="L11" s="102" t="n">
        <x:f>$C$6*(1+$D$6)^(K11-1)</x:f>
        <x:v>12</x:v>
      </x:c>
      <x:c r="M11" s="102" t="n">
        <x:f>$B$6*$E$6</x:f>
        <x:v>0.3</x:v>
      </x:c>
      <x:c r="N11" s="101" t="n">
        <x:f>$B$6+L11-M11</x:f>
        <x:v>21.7</x:v>
      </x:c>
      <x:c r="O11" s="101" t="n">
        <x:f>N11*$I$6</x:f>
        <x:v>4513.599999999999</x:v>
      </x:c>
      <x:c r="P11" s="101" t="n">
        <x:f>N11*Perfis_Uso!$B$13+Premissas!$C$20</x:f>
        <x:v>990.4635492740999</x:v>
      </x:c>
      <x:c r="Q11" s="101" t="n">
        <x:f>L11*$F$6</x:f>
        <x:v>5400</x:v>
      </x:c>
      <x:c r="R11" s="101" t="n">
        <x:f>IF(K11&lt;=12,$G$6,$H$6)</x:f>
        <x:v>25000</x:v>
      </x:c>
      <x:c r="S11" s="101" t="n">
        <x:f>O11-P11-O11*Premissas!$C$16-Q11-R11</x:f>
        <x:v>-27350.7915492741</x:v>
      </x:c>
      <x:c r="T11" s="78"/>
      <x:c r="U11" s="104" t="n">
        <x:v>1</x:v>
      </x:c>
      <x:c r="V11" s="102" t="n">
        <x:f>$C$7*(1+$D$7)^(U11-1)</x:f>
        <x:v>30</x:v>
      </x:c>
      <x:c r="W11" s="102" t="n">
        <x:f>$B$7*$E$7</x:f>
        <x:v>0.3</x:v>
      </x:c>
      <x:c r="X11" s="101" t="n">
        <x:f>$B$7+V11-W11</x:f>
        <x:v>49.7</x:v>
      </x:c>
      <x:c r="Y11" s="101" t="n">
        <x:f>X11*$I$7</x:f>
        <x:v>10337.6</x:v>
      </x:c>
      <x:c r="Z11" s="101" t="n">
        <x:f>X11*Perfis_Uso!$B$13+Premissas!$C$20</x:f>
        <x:v>1968.6358709181</x:v>
      </x:c>
      <x:c r="AA11" s="101" t="n">
        <x:f>V11*$F$7</x:f>
        <x:v>19500</x:v>
      </x:c>
      <x:c r="AB11" s="101" t="n">
        <x:f>IF(U11&lt;=12,$G$7,$H$7)</x:f>
        <x:v>60000</x:v>
      </x:c>
      <x:c r="AC11" s="101" t="n">
        <x:f>Y11-Z11-Y11*Premissas!$C$16-AA11-AB11</x:f>
        <x:v>-72216.4838709181</x:v>
      </x:c>
      <x:c r="AD11" s="78"/>
      <x:c r="AE11" s="78"/>
    </x:row>
    <x:row r="12">
      <x:c r="A12" s="104" t="n">
        <x:v>2</x:v>
      </x:c>
      <x:c r="B12" s="102" t="n">
        <x:f>$C$5*(1+$D$5)^(A12-1)</x:f>
        <x:v>5.1</x:v>
      </x:c>
      <x:c r="C12" s="102" t="n">
        <x:f>D11*$E$5</x:f>
        <x:v>0.864</x:v>
      </x:c>
      <x:c r="D12" s="101" t="n">
        <x:f>D11+B12-C12</x:f>
        <x:v>18.636</x:v>
      </x:c>
      <x:c r="E12" s="101" t="n">
        <x:f>D12*$I$5</x:f>
        <x:v>3876.288</x:v>
      </x:c>
      <x:c r="F12" s="101" t="n">
        <x:f>D12*Perfis_Uso!$B$13+Premissas!$C$20</x:f>
        <x:v>883.4235495056279</x:v>
      </x:c>
      <x:c r="G12" s="101" t="n">
        <x:f>B12*$F$5</x:f>
        <x:v>4590</x:v>
      </x:c>
      <x:c r="H12" s="101" t="n">
        <x:f>IF(A12&lt;=12,$G$5,$H$5)</x:f>
        <x:v>8000</x:v>
      </x:c>
      <x:c r="I12" s="101" t="n">
        <x:f>E12-F12-E12*Premissas!$C$16-G12-H12</x:f>
        <x:v>-10004.145789505628</x:v>
      </x:c>
      <x:c r="J12" s="78"/>
      <x:c r="K12" s="104" t="n">
        <x:v>2</x:v>
      </x:c>
      <x:c r="L12" s="102" t="n">
        <x:f>$C$6*(1+$D$6)^(K12-1)</x:f>
        <x:v>12.48</x:v>
      </x:c>
      <x:c r="M12" s="102" t="n">
        <x:f>N11*$E$6</x:f>
        <x:v>0.6509999999999999</x:v>
      </x:c>
      <x:c r="N12" s="101" t="n">
        <x:f>N11+L12-M12</x:f>
        <x:v>33.528999999999996</x:v>
      </x:c>
      <x:c r="O12" s="101" t="n">
        <x:f>N12*$I$6</x:f>
        <x:v>6974.031999999999</x:v>
      </x:c>
      <x:c r="P12" s="101" t="n">
        <x:f>N12*Perfis_Uso!$B$13+Premissas!$C$20</x:f>
        <x:v>1403.7064204429166</x:v>
      </x:c>
      <x:c r="Q12" s="101" t="n">
        <x:f>L12*$F$6</x:f>
        <x:v>5616</x:v>
      </x:c>
      <x:c r="R12" s="101" t="n">
        <x:f>IF(K12&lt;=12,$G$6,$H$6)</x:f>
        <x:v>25000</x:v>
      </x:c>
      <x:c r="S12" s="101" t="n">
        <x:f>O12-P12-O12*Premissas!$C$16-Q12-R12</x:f>
        <x:v>-25777.94778044292</x:v>
      </x:c>
      <x:c r="T12" s="78"/>
      <x:c r="U12" s="104" t="n">
        <x:v>2</x:v>
      </x:c>
      <x:c r="V12" s="102" t="n">
        <x:f>$C$7*(1+$D$7)^(U12-1)</x:f>
        <x:v>31.8</x:v>
      </x:c>
      <x:c r="W12" s="102" t="n">
        <x:f>X11*$E$7</x:f>
        <x:v>0.7455</x:v>
      </x:c>
      <x:c r="X12" s="101" t="n">
        <x:f>X11+V12-W12</x:f>
        <x:v>80.7545</x:v>
      </x:c>
      <x:c r="Y12" s="101" t="n">
        <x:f>X12*$I$7</x:f>
        <x:v>16796.935999999998</x:v>
      </x:c>
      <x:c r="Z12" s="101" t="n">
        <x:f>X12*Perfis_Uso!$B$13+Premissas!$C$20</x:f>
        <x:v>3053.516312435728</x:v>
      </x:c>
      <x:c r="AA12" s="101" t="n">
        <x:f>V12*$F$7</x:f>
        <x:v>20670</x:v>
      </x:c>
      <x:c r="AB12" s="101" t="n">
        <x:f>IF(U12&lt;=12,$G$7,$H$7)</x:f>
        <x:v>60000</x:v>
      </x:c>
      <x:c r="AC12" s="101" t="n">
        <x:f>Y12-Z12-Y12*Premissas!$C$16-AA12-AB12</x:f>
        <x:v>-68690.25859243573</x:v>
      </x:c>
      <x:c r="AD12" s="78"/>
      <x:c r="AE12" s="78"/>
    </x:row>
    <x:row r="13">
      <x:c r="A13" s="104" t="n">
        <x:v>3</x:v>
      </x:c>
      <x:c r="B13" s="102" t="n">
        <x:f>$C$5*(1+$D$5)^(A13-1)</x:f>
        <x:v>5.202</x:v>
      </x:c>
      <x:c r="C13" s="102" t="n">
        <x:f>D12*$E$5</x:f>
        <x:v>1.1181599999999998</x:v>
      </x:c>
      <x:c r="D13" s="101" t="n">
        <x:f>D12+B13-C13</x:f>
        <x:v>22.71984</x:v>
      </x:c>
      <x:c r="E13" s="101" t="n">
        <x:f>D13*$I$5</x:f>
        <x:v>4725.726720000001</x:v>
      </x:c>
      <x:c r="F13" s="101" t="n">
        <x:f>D13*Perfis_Uso!$B$13+Premissas!$C$20</x:f>
        <x:v>1026.0913800064363</x:v>
      </x:c>
      <x:c r="G13" s="101" t="n">
        <x:f>B13*$F$5</x:f>
        <x:v>4681.8</x:v>
      </x:c>
      <x:c r="H13" s="101" t="n">
        <x:f>IF(A13&lt;=12,$G$5,$H$5)</x:f>
        <x:v>8000</x:v>
      </x:c>
      <x:c r="I13" s="101" t="n">
        <x:f>E13-F13-E13*Premissas!$C$16-G13-H13</x:f>
        <x:v>-9478.365965606436</x:v>
      </x:c>
      <x:c r="J13" s="78"/>
      <x:c r="K13" s="104" t="n">
        <x:v>3</x:v>
      </x:c>
      <x:c r="L13" s="102" t="n">
        <x:f>$C$6*(1+$D$6)^(K13-1)</x:f>
        <x:v>12.979200000000002</x:v>
      </x:c>
      <x:c r="M13" s="102" t="n">
        <x:f>N12*$E$6</x:f>
        <x:v>1.0058699999999998</x:v>
      </x:c>
      <x:c r="N13" s="101" t="n">
        <x:f>N12+L13-M13</x:f>
        <x:v>45.50233</x:v>
      </x:c>
      <x:c r="O13" s="101" t="n">
        <x:f>N13*$I$6</x:f>
        <x:v>9464.48464</x:v>
      </x:c>
      <x:c r="P13" s="101" t="n">
        <x:f>N13*Perfis_Uso!$B$13+Premissas!$C$20</x:f>
        <x:v>1821.9914205825507</x:v>
      </x:c>
      <x:c r="Q13" s="101" t="n">
        <x:f>L13*$F$6</x:f>
        <x:v>5840.640000000001</x:v>
      </x:c>
      <x:c r="R13" s="101" t="n">
        <x:f>IF(K13&lt;=12,$G$6,$H$6)</x:f>
        <x:v>25000</x:v>
      </x:c>
      <x:c r="S13" s="101" t="n">
        <x:f>O13-P13-O13*Premissas!$C$16-Q13-R13</x:f>
        <x:v>-24191.917667782553</x:v>
      </x:c>
      <x:c r="T13" s="78"/>
      <x:c r="U13" s="104" t="n">
        <x:v>3</x:v>
      </x:c>
      <x:c r="V13" s="102" t="n">
        <x:f>$C$7*(1+$D$7)^(U13-1)</x:f>
        <x:v>33.708000000000006</x:v>
      </x:c>
      <x:c r="W13" s="102" t="n">
        <x:f>X12*$E$7</x:f>
        <x:v>1.2113174999999998</x:v>
      </x:c>
      <x:c r="X13" s="101" t="n">
        <x:f>X12+V13-W13</x:f>
        <x:v>113.2511825</x:v>
      </x:c>
      <x:c r="Y13" s="101" t="n">
        <x:f>X13*$I$7</x:f>
        <x:v>23556.24596</x:v>
      </x:c>
      <x:c r="Z13" s="101" t="n">
        <x:f>X13*Perfis_Uso!$B$13+Premissas!$C$20</x:f>
        <x:v>4188.779004105476</x:v>
      </x:c>
      <x:c r="AA13" s="101" t="n">
        <x:f>V13*$F$7</x:f>
        <x:v>21910.200000000004</x:v>
      </x:c>
      <x:c r="AB13" s="101" t="n">
        <x:f>IF(U13&lt;=12,$G$7,$H$7)</x:f>
        <x:v>60000</x:v>
      </x:c>
      <x:c r="AC13" s="101" t="n">
        <x:f>Y13-Z13-Y13*Premissas!$C$16-AA13-AB13</x:f>
        <x:v>-65016.13886990548</x:v>
      </x:c>
      <x:c r="AD13" s="78"/>
      <x:c r="AE13" s="78"/>
    </x:row>
    <x:row r="14">
      <x:c r="A14" s="104" t="n">
        <x:v>4</x:v>
      </x:c>
      <x:c r="B14" s="102" t="n">
        <x:f>$C$5*(1+$D$5)^(A14-1)</x:f>
        <x:v>5.306040000000001</x:v>
      </x:c>
      <x:c r="C14" s="102" t="n">
        <x:f>D13*$E$5</x:f>
        <x:v>1.3631904000000001</x:v>
      </x:c>
      <x:c r="D14" s="101" t="n">
        <x:f>D13+B14-C14</x:f>
        <x:v>26.6626896</x:v>
      </x:c>
      <x:c r="E14" s="101" t="n">
        <x:f>D14*$I$5</x:f>
        <x:v>5545.8394368</x:v>
      </x:c>
      <x:c r="F14" s="101" t="n">
        <x:f>D14*Perfis_Uso!$B$13+Premissas!$C$20</x:f>
        <x:v>1163.833749546619</x:v>
      </x:c>
      <x:c r="G14" s="101" t="n">
        <x:f>B14*$F$5</x:f>
        <x:v>4775.4360000000015</x:v>
      </x:c>
      <x:c r="H14" s="101" t="n">
        <x:f>IF(A14&lt;=12,$G$5,$H$5)</x:f>
        <x:v>8000</x:v>
      </x:c>
      <x:c r="I14" s="101" t="n">
        <x:f>E14-F14-E14*Premissas!$C$16-G14-H14</x:f>
        <x:v>-8975.743453610621</x:v>
      </x:c>
      <x:c r="J14" s="78"/>
      <x:c r="K14" s="104" t="n">
        <x:v>4</x:v>
      </x:c>
      <x:c r="L14" s="102" t="n">
        <x:f>$C$6*(1+$D$6)^(K14-1)</x:f>
        <x:v>13.498368000000001</x:v>
      </x:c>
      <x:c r="M14" s="102" t="n">
        <x:f>N13*$E$6</x:f>
        <x:v>1.3650699</x:v>
      </x:c>
      <x:c r="N14" s="101" t="n">
        <x:f>N13+L14-M14</x:f>
        <x:v>57.6356281</x:v>
      </x:c>
      <x:c r="O14" s="101" t="n">
        <x:f>N14*$I$6</x:f>
        <x:v>11988.2106448</x:v>
      </x:c>
      <x:c r="P14" s="101" t="n">
        <x:f>N14*Perfis_Uso!$B$13+Premissas!$C$20</x:f>
        <x:v>2245.8648624281127</x:v>
      </x:c>
      <x:c r="Q14" s="101" t="n">
        <x:f>L14*$F$6</x:f>
        <x:v>6074.265600000001</x:v>
      </x:c>
      <x:c r="R14" s="101" t="n">
        <x:f>IF(K14&lt;=12,$G$6,$H$6)</x:f>
        <x:v>25000</x:v>
      </x:c>
      <x:c r="S14" s="101" t="n">
        <x:f>O14-P14-O14*Premissas!$C$16-Q14-R14</x:f>
        <x:v>-22590.68193533211</x:v>
      </x:c>
      <x:c r="T14" s="78"/>
      <x:c r="U14" s="104" t="n">
        <x:v>4</x:v>
      </x:c>
      <x:c r="V14" s="102" t="n">
        <x:f>$C$7*(1+$D$7)^(U14-1)</x:f>
        <x:v>35.73048</x:v>
      </x:c>
      <x:c r="W14" s="102" t="n">
        <x:f>X13*$E$7</x:f>
        <x:v>1.6987677374999999</x:v>
      </x:c>
      <x:c r="X14" s="101" t="n">
        <x:f>X13+V14-W14</x:f>
        <x:v>147.2828947625</x:v>
      </x:c>
      <x:c r="Y14" s="101" t="n">
        <x:f>X14*$I$7</x:f>
        <x:v>30634.842110600002</x:v>
      </x:c>
      <x:c r="Z14" s="101" t="n">
        <x:f>X14*Perfis_Uso!$B$13+Premissas!$C$20</x:f>
        <x:v>5377.6675395815555</x:v>
      </x:c>
      <x:c r="AA14" s="101" t="n">
        <x:f>V14*$F$7</x:f>
        <x:v>23224.812</x:v>
      </x:c>
      <x:c r="AB14" s="101" t="n">
        <x:f>IF(U14&lt;=12,$G$7,$H$7)</x:f>
        <x:v>60000</x:v>
      </x:c>
      <x:c r="AC14" s="101" t="n">
        <x:f>Y14-Z14-Y14*Premissas!$C$16-AA14-AB14</x:f>
        <x:v>-61184.29585059456</x:v>
      </x:c>
      <x:c r="AD14" s="78"/>
      <x:c r="AE14" s="78"/>
    </x:row>
    <x:row r="15">
      <x:c r="A15" s="104" t="n">
        <x:v>5</x:v>
      </x:c>
      <x:c r="B15" s="102" t="n">
        <x:f>$C$5*(1+$D$5)^(A15-1)</x:f>
        <x:v>5.4121608</x:v>
      </x:c>
      <x:c r="C15" s="102" t="n">
        <x:f>D14*$E$5</x:f>
        <x:v>1.599761376</x:v>
      </x:c>
      <x:c r="D15" s="101" t="n">
        <x:f>D14+B15-C15</x:f>
        <x:v>30.475089024000003</x:v>
      </x:c>
      <x:c r="E15" s="101" t="n">
        <x:f>D15*$I$5</x:f>
        <x:v>6338.818516992001</x:v>
      </x:c>
      <x:c r="F15" s="101" t="n">
        <x:f>D15*Perfis_Uso!$B$13+Premissas!$C$20</x:f>
        <x:v>1297.0188779612022</x:v>
      </x:c>
      <x:c r="G15" s="101" t="n">
        <x:f>B15*$F$5</x:f>
        <x:v>4870.9447199999995</x:v>
      </x:c>
      <x:c r="H15" s="101" t="n">
        <x:f>IF(A15&lt;=12,$G$5,$H$5)</x:f>
        <x:v>8000</x:v>
      </x:c>
      <x:c r="I15" s="101" t="n">
        <x:f>E15-F15-E15*Premissas!$C$16-G15-H15</x:f>
        <x:v>-8494.721025253362</x:v>
      </x:c>
      <x:c r="J15" s="78"/>
      <x:c r="K15" s="104" t="n">
        <x:v>5</x:v>
      </x:c>
      <x:c r="L15" s="102" t="n">
        <x:f>$C$6*(1+$D$6)^(K15-1)</x:f>
        <x:v>14.038302720000003</x:v>
      </x:c>
      <x:c r="M15" s="102" t="n">
        <x:f>N14*$E$6</x:f>
        <x:v>1.7290688429999999</x:v>
      </x:c>
      <x:c r="N15" s="101" t="n">
        <x:f>N14+L15-M15</x:f>
        <x:v>69.944861977</x:v>
      </x:c>
      <x:c r="O15" s="101" t="n">
        <x:f>N15*$I$6</x:f>
        <x:v>14548.531291216</x:v>
      </x:c>
      <x:c r="P15" s="101" t="n">
        <x:f>N15*Perfis_Uso!$B$13+Premissas!$C$20</x:f>
        <x:v>2675.8845723968298</x:v>
      </x:c>
      <x:c r="Q15" s="101" t="n">
        <x:f>L15*$F$6</x:f>
        <x:v>6317.236224000001</x:v>
      </x:c>
      <x:c r="R15" s="101" t="n">
        <x:f>IF(K15&lt;=12,$G$6,$H$6)</x:f>
        <x:v>25000</x:v>
      </x:c>
      <x:c r="S15" s="101" t="n">
        <x:f>O15-P15-O15*Premissas!$C$16-Q15-R15</x:f>
        <x:v>-20972.18529075851</x:v>
      </x:c>
      <x:c r="T15" s="78"/>
      <x:c r="U15" s="104" t="n">
        <x:v>5</x:v>
      </x:c>
      <x:c r="V15" s="102" t="n">
        <x:f>$C$7*(1+$D$7)^(U15-1)</x:f>
        <x:v>37.87430880000001</x:v>
      </x:c>
      <x:c r="W15" s="102" t="n">
        <x:f>X14*$E$7</x:f>
        <x:v>2.2092434214375</x:v>
      </x:c>
      <x:c r="X15" s="101" t="n">
        <x:f>X14+V15-W15</x:f>
        <x:v>182.9479601410625</x:v>
      </x:c>
      <x:c r="Y15" s="101" t="n">
        <x:f>X15*$I$7</x:f>
        <x:v>38053.175709341005</x:v>
      </x:c>
      <x:c r="Z15" s="101" t="n">
        <x:f>X15*Perfis_Uso!$B$13+Premissas!$C$20</x:f>
        <x:v>6623.616818257753</x:v>
      </x:c>
      <x:c r="AA15" s="101" t="n">
        <x:f>V15*$F$7</x:f>
        <x:v>24618.300720000007</x:v>
      </x:c>
      <x:c r="AB15" s="101" t="n">
        <x:f>IF(U15&lt;=12,$G$7,$H$7)</x:f>
        <x:v>60000</x:v>
      </x:c>
      <x:c r="AC15" s="101" t="n">
        <x:f>Y15-Z15-Y15*Premissas!$C$16-AA15-AB15</x:f>
        <x:v>-57184.32527839756</x:v>
      </x:c>
      <x:c r="AD15" s="78"/>
      <x:c r="AE15" s="78"/>
    </x:row>
    <x:row r="16">
      <x:c r="A16" s="104" t="n">
        <x:v>6</x:v>
      </x:c>
      <x:c r="B16" s="102" t="n">
        <x:f>$C$5*(1+$D$5)^(A16-1)</x:f>
        <x:v>5.5204040160000005</x:v>
      </x:c>
      <x:c r="C16" s="102" t="n">
        <x:f>D15*$E$5</x:f>
        <x:v>1.82850534144</x:v>
      </x:c>
      <x:c r="D16" s="101" t="n">
        <x:f>D15+B16-C16</x:f>
        <x:v>34.16698769856</x:v>
      </x:c>
      <x:c r="E16" s="101" t="n">
        <x:f>D16*$I$5</x:f>
        <x:v>7106.73344130048</x:v>
      </x:c>
      <x:c r="F16" s="101" t="n">
        <x:f>D16*Perfis_Uso!$B$13+Premissas!$C$20</x:f>
        <x:v>1425.994345738658</x:v>
      </x:c>
      <x:c r="G16" s="101" t="n">
        <x:f>B16*$F$5</x:f>
        <x:v>4968.3636144</x:v>
      </x:c>
      <x:c r="H16" s="101" t="n">
        <x:f>IF(A16&lt;=12,$G$5,$H$5)</x:f>
        <x:v>8000</x:v>
      </x:c>
      <x:c r="I16" s="101" t="n">
        <x:f>E16-F16-E16*Premissas!$C$16-G16-H16</x:f>
        <x:v>-8033.831530174729</x:v>
      </x:c>
      <x:c r="J16" s="78"/>
      <x:c r="K16" s="104" t="n">
        <x:v>6</x:v>
      </x:c>
      <x:c r="L16" s="102" t="n">
        <x:f>$C$6*(1+$D$6)^(K16-1)</x:f>
        <x:v>14.599834828800002</x:v>
      </x:c>
      <x:c r="M16" s="102" t="n">
        <x:f>N15*$E$6</x:f>
        <x:v>2.09834585931</x:v>
      </x:c>
      <x:c r="N16" s="101" t="n">
        <x:f>N15+L16-M16</x:f>
        <x:v>82.44635094649</x:v>
      </x:c>
      <x:c r="O16" s="101" t="n">
        <x:f>N16*$I$6</x:f>
        <x:v>17148.84099686992</x:v>
      </x:c>
      <x:c r="P16" s="101" t="n">
        <x:f>N16*Perfis_Uso!$B$13+Premissas!$C$20</x:f>
        <x:v>3112.620661300147</x:v>
      </x:c>
      <x:c r="Q16" s="101" t="n">
        <x:f>L16*$F$6</x:f>
        <x:v>6569.925672960001</x:v>
      </x:c>
      <x:c r="R16" s="101" t="n">
        <x:f>IF(K16&lt;=12,$G$6,$H$6)</x:f>
        <x:v>25000</x:v>
      </x:c>
      <x:c r="S16" s="101" t="n">
        <x:f>O16-P16-O16*Premissas!$C$16-Q16-R16</x:f>
        <x:v>-19334.33364206157</x:v>
      </x:c>
      <x:c r="T16" s="78"/>
      <x:c r="U16" s="104" t="n">
        <x:v>6</x:v>
      </x:c>
      <x:c r="V16" s="102" t="n">
        <x:f>$C$7*(1+$D$7)^(U16-1)</x:f>
        <x:v>40.14676732800001</x:v>
      </x:c>
      <x:c r="W16" s="102" t="n">
        <x:f>X15*$E$7</x:f>
        <x:v>2.7442194021159376</x:v>
      </x:c>
      <x:c r="X16" s="101" t="n">
        <x:f>X15+V16-W16</x:f>
        <x:v>220.3505080669466</x:v>
      </x:c>
      <x:c r="Y16" s="101" t="n">
        <x:f>X16*$I$7</x:f>
        <x:v>45832.90567792489</x:v>
      </x:c>
      <x:c r="Z16" s="101" t="n">
        <x:f>X16*Perfis_Uso!$B$13+Premissas!$C$20</x:f>
        <x:v>7930.264573260003</x:v>
      </x:c>
      <x:c r="AA16" s="101" t="n">
        <x:f>V16*$F$7</x:f>
        <x:v>26095.398763200006</x:v>
      </x:c>
      <x:c r="AB16" s="101" t="n">
        <x:f>IF(U16&lt;=12,$G$7,$H$7)</x:f>
        <x:v>60000</x:v>
      </x:c>
      <x:c r="AC16" s="101" t="n">
        <x:f>Y16-Z16-Y16*Premissas!$C$16-AA16-AB16</x:f>
        <x:v>-53005.212754717235</x:v>
      </x:c>
      <x:c r="AD16" s="78"/>
      <x:c r="AE16" s="78"/>
    </x:row>
    <x:row r="17">
      <x:c r="A17" s="104" t="n">
        <x:v>7</x:v>
      </x:c>
      <x:c r="B17" s="102" t="n">
        <x:f>$C$5*(1+$D$5)^(A17-1)</x:f>
        <x:v>5.630812096320001</x:v>
      </x:c>
      <x:c r="C17" s="102" t="n">
        <x:f>D16*$E$5</x:f>
        <x:v>2.0500192619136</x:v>
      </x:c>
      <x:c r="D17" s="101" t="n">
        <x:f>D16+B17-C17</x:f>
        <x:v>37.7477805329664</x:v>
      </x:c>
      <x:c r="E17" s="101" t="n">
        <x:f>D17*$I$5</x:f>
        <x:v>7851.538350857012</x:v>
      </x:c>
      <x:c r="F17" s="101" t="n">
        <x:f>D17*Perfis_Uso!$B$13+Premissas!$C$20</x:f>
        <x:v>1551.0883614585691</x:v>
      </x:c>
      <x:c r="G17" s="101" t="n">
        <x:f>B17*$F$5</x:f>
        <x:v>5067.730886688</x:v>
      </x:c>
      <x:c r="H17" s="101" t="n">
        <x:f>IF(A17&lt;=12,$G$5,$H$5)</x:f>
        <x:v>8000</x:v>
      </x:c>
      <x:c r="I17" s="101" t="n">
        <x:f>E17-F17-E17*Premissas!$C$16-G17-H17</x:f>
        <x:v>-7591.692424129544</x:v>
      </x:c>
      <x:c r="J17" s="78"/>
      <x:c r="K17" s="104" t="n">
        <x:v>7</x:v>
      </x:c>
      <x:c r="L17" s="102" t="n">
        <x:f>$C$6*(1+$D$6)^(K17-1)</x:f>
        <x:v>15.183828221952005</x:v>
      </x:c>
      <x:c r="M17" s="102" t="n">
        <x:f>N16*$E$6</x:f>
        <x:v>2.4733905283946997</x:v>
      </x:c>
      <x:c r="N17" s="101" t="n">
        <x:f>N16+L17-M17</x:f>
        <x:v>95.1567886400473</x:v>
      </x:c>
      <x:c r="O17" s="101" t="n">
        <x:f>N17*$I$6</x:f>
        <x:v>19792.61203712984</x:v>
      </x:c>
      <x:c r="P17" s="101" t="n">
        <x:f>N17*Perfis_Uso!$B$13+Premissas!$C$20</x:f>
        <x:v>3556.6563165793737</x:v>
      </x:c>
      <x:c r="Q17" s="101" t="n">
        <x:f>L17*$F$6</x:f>
        <x:v>6832.722699878403</x:v>
      </x:c>
      <x:c r="R17" s="101" t="n">
        <x:f>IF(K17&lt;=12,$G$6,$H$6)</x:f>
        <x:v>25000</x:v>
      </x:c>
      <x:c r="S17" s="101" t="n">
        <x:f>O17-P17-O17*Premissas!$C$16-Q17-R17</x:f>
        <x:v>-17674.99124322657</x:v>
      </x:c>
      <x:c r="T17" s="78"/>
      <x:c r="U17" s="104" t="n">
        <x:v>7</x:v>
      </x:c>
      <x:c r="V17" s="102" t="n">
        <x:f>$C$7*(1+$D$7)^(U17-1)</x:f>
        <x:v>42.55557336768001</x:v>
      </x:c>
      <x:c r="W17" s="102" t="n">
        <x:f>X16*$E$7</x:f>
        <x:v>3.305257621004199</x:v>
      </x:c>
      <x:c r="X17" s="101" t="n">
        <x:f>X16+V17-W17</x:f>
        <x:v>259.60082381362236</x:v>
      </x:c>
      <x:c r="Y17" s="101" t="n">
        <x:f>X17*$I$7</x:f>
        <x:v>53996.97135323345</x:v>
      </x:c>
      <x:c r="Z17" s="101" t="n">
        <x:f>X17*Perfis_Uso!$B$13+Premissas!$C$20</x:f>
        <x:v>9301.463590373784</x:v>
      </x:c>
      <x:c r="AA17" s="101" t="n">
        <x:f>V17*$F$7</x:f>
        <x:v>27661.122688992007</x:v>
      </x:c>
      <x:c r="AB17" s="101" t="n">
        <x:f>IF(U17&lt;=12,$G$7,$H$7)</x:f>
        <x:v>60000</x:v>
      </x:c>
      <x:c r="AC17" s="101" t="n">
        <x:f>Y17-Z17-Y17*Premissas!$C$16-AA17-AB17</x:f>
        <x:v>-48635.29691822186</x:v>
      </x:c>
      <x:c r="AD17" s="78"/>
      <x:c r="AE17" s="78"/>
    </x:row>
    <x:row r="18">
      <x:c r="A18" s="104" t="n">
        <x:v>8</x:v>
      </x:c>
      <x:c r="B18" s="102" t="n">
        <x:f>$C$5*(1+$D$5)^(A18-1)</x:f>
        <x:v>5.7434283382464</x:v>
      </x:c>
      <x:c r="C18" s="102" t="n">
        <x:f>D17*$E$5</x:f>
        <x:v>2.264866831977984</x:v>
      </x:c>
      <x:c r="D18" s="101" t="n">
        <x:f>D17+B18-C18</x:f>
        <x:v>41.22634203923482</x:v>
      </x:c>
      <x:c r="E18" s="101" t="n">
        <x:f>D18*$I$5</x:f>
        <x:v>8575.079144160843</x:v>
      </x:c>
      <x:c r="F18" s="101" t="n">
        <x:f>D18*Perfis_Uso!$B$13+Premissas!$C$20</x:f>
        <x:v>1672.6109537645698</x:v>
      </x:c>
      <x:c r="G18" s="101" t="n">
        <x:f>B18*$F$5</x:f>
        <x:v>5169.085504421761</x:v>
      </x:c>
      <x:c r="H18" s="101" t="n">
        <x:f>IF(A18&lt;=12,$G$5,$H$5)</x:f>
        <x:v>8000</x:v>
      </x:c>
      <x:c r="I18" s="101" t="n">
        <x:f>E18-F18-E18*Premissas!$C$16-G18-H18</x:f>
        <x:v>-7167.000624162375</x:v>
      </x:c>
      <x:c r="J18" s="78"/>
      <x:c r="K18" s="104" t="n">
        <x:v>8</x:v>
      </x:c>
      <x:c r="L18" s="102" t="n">
        <x:f>$C$6*(1+$D$6)^(K18-1)</x:f>
        <x:v>15.791181350830083</x:v>
      </x:c>
      <x:c r="M18" s="102" t="n">
        <x:f>N17*$E$6</x:f>
        <x:v>2.8547036592014186</x:v>
      </x:c>
      <x:c r="N18" s="101" t="n">
        <x:f>N17+L18-M18</x:f>
        <x:v>108.09326633167596</x:v>
      </x:c>
      <x:c r="O18" s="101" t="n">
        <x:f>N18*$I$6</x:f>
        <x:v>22483.3993969886</x:v>
      </x:c>
      <x:c r="P18" s="101" t="n">
        <x:f>N18*Perfis_Uso!$B$13+Premissas!$C$20</x:f>
        <x:v>4008.588617204953</x:v>
      </x:c>
      <x:c r="Q18" s="101" t="n">
        <x:f>L18*$F$6</x:f>
        <x:v>7106.031607873538</x:v>
      </x:c>
      <x:c r="R18" s="101" t="n">
        <x:f>IF(K18&lt;=12,$G$6,$H$6)</x:f>
        <x:v>25000</x:v>
      </x:c>
      <x:c r="S18" s="101" t="n">
        <x:f>O18-P18-O18*Premissas!$C$16-Q18-R18</x:f>
        <x:v>-15991.977764773696</x:v>
      </x:c>
      <x:c r="T18" s="78"/>
      <x:c r="U18" s="104" t="n">
        <x:v>8</x:v>
      </x:c>
      <x:c r="V18" s="102" t="n">
        <x:f>$C$7*(1+$D$7)^(U18-1)</x:f>
        <x:v>45.10890776974082</x:v>
      </x:c>
      <x:c r="W18" s="102" t="n">
        <x:f>X17*$E$7</x:f>
        <x:v>3.894012357204335</x:v>
      </x:c>
      <x:c r="X18" s="101" t="n">
        <x:f>X17+V18-W18</x:f>
        <x:v>300.8157192261588</x:v>
      </x:c>
      <x:c r="Y18" s="101" t="n">
        <x:f>X18*$I$7</x:f>
        <x:v>62569.66959904104</x:v>
      </x:c>
      <x:c r="Z18" s="101" t="n">
        <x:f>X18*Perfis_Uso!$B$13+Premissas!$C$20</x:f>
        <x:v>10741.29465937362</x:v>
      </x:c>
      <x:c r="AA18" s="101" t="n">
        <x:f>V18*$F$7</x:f>
        <x:v>29320.790050331532</x:v>
      </x:c>
      <x:c r="AB18" s="101" t="n">
        <x:f>IF(U18&lt;=12,$G$7,$H$7)</x:f>
        <x:v>60000</x:v>
      </x:c>
      <x:c r="AC18" s="101" t="n">
        <x:f>Y18-Z18-Y18*Premissas!$C$16-AA18-AB18</x:f>
        <x:v>-44062.23041856342</x:v>
      </x:c>
      <x:c r="AD18" s="78"/>
      <x:c r="AE18" s="78"/>
    </x:row>
    <x:row r="19">
      <x:c r="A19" s="104" t="n">
        <x:v>9</x:v>
      </x:c>
      <x:c r="B19" s="102" t="n">
        <x:f>$C$5*(1+$D$5)^(A19-1)</x:f>
        <x:v>5.858296905011329</x:v>
      </x:c>
      <x:c r="C19" s="102" t="n">
        <x:f>D18*$E$5</x:f>
        <x:v>2.4735805223540894</x:v>
      </x:c>
      <x:c r="D19" s="101" t="n">
        <x:f>D18+B19-C19</x:f>
        <x:v>44.61105842189206</x:v>
      </x:c>
      <x:c r="E19" s="101" t="n">
        <x:f>D19*$I$5</x:f>
        <x:v>9279.100151753548</x:v>
      </x:c>
      <x:c r="F19" s="101" t="n">
        <x:f>D19*Perfis_Uso!$B$13+Premissas!$C$20</x:f>
        <x:v>1790.855092412081</x:v>
      </x:c>
      <x:c r="G19" s="101" t="n">
        <x:f>B19*$F$5</x:f>
        <x:v>5272.467214510196</x:v>
      </x:c>
      <x:c r="H19" s="101" t="n">
        <x:f>IF(A19&lt;=12,$G$5,$H$5)</x:f>
        <x:v>8000</x:v>
      </x:c>
      <x:c r="I19" s="101" t="n">
        <x:f>E19-F19-E19*Premissas!$C$16-G19-H19</x:f>
        <x:v>-6758.527671102851</x:v>
      </x:c>
      <x:c r="J19" s="78"/>
      <x:c r="K19" s="104" t="n">
        <x:v>9</x:v>
      </x:c>
      <x:c r="L19" s="102" t="n">
        <x:f>$C$6*(1+$D$6)^(K19-1)</x:f>
        <x:v>16.422828604863287</x:v>
      </x:c>
      <x:c r="M19" s="102" t="n">
        <x:f>N18*$E$6</x:f>
        <x:v>3.2427979899502786</x:v>
      </x:c>
      <x:c r="N19" s="101" t="n">
        <x:f>N18+L19-M19</x:f>
        <x:v>121.27329694658897</x:v>
      </x:c>
      <x:c r="O19" s="101" t="n">
        <x:f>N19*$I$6</x:f>
        <x:v>25224.845764890506</x:v>
      </x:c>
      <x:c r="P19" s="101" t="n">
        <x:f>N19*Perfis_Uso!$B$13+Premissas!$C$20</x:f>
        <x:v>4469.029372416684</x:v>
      </x:c>
      <x:c r="Q19" s="101" t="n">
        <x:f>L19*$F$6</x:f>
        <x:v>7390.27287218848</x:v>
      </x:c>
      <x:c r="R19" s="101" t="n">
        <x:f>IF(K19&lt;=12,$G$6,$H$6)</x:f>
        <x:v>25000</x:v>
      </x:c>
      <x:c r="S19" s="101" t="n">
        <x:f>O19-P19-O19*Premissas!$C$16-Q19-R19</x:f>
        <x:v>-14283.06528502816</x:v>
      </x:c>
      <x:c r="T19" s="78"/>
      <x:c r="U19" s="104" t="n">
        <x:v>9</x:v>
      </x:c>
      <x:c r="V19" s="102" t="n">
        <x:f>$C$7*(1+$D$7)^(U19-1)</x:f>
        <x:v>47.81544223592527</x:v>
      </x:c>
      <x:c r="W19" s="102" t="n">
        <x:f>X18*$E$7</x:f>
        <x:v>4.512235788392382</x:v>
      </x:c>
      <x:c r="X19" s="101" t="n">
        <x:f>X18+V19-W19</x:f>
        <x:v>344.1189256736917</x:v>
      </x:c>
      <x:c r="Y19" s="101" t="n">
        <x:f>X19*$I$7</x:f>
        <x:v>71576.73654012788</x:v>
      </x:c>
      <x:c r="Z19" s="101" t="n">
        <x:f>X19*Perfis_Uso!$B$13+Premissas!$C$20</x:f>
        <x:v>12254.080301709788</x:v>
      </x:c>
      <x:c r="AA19" s="101" t="n">
        <x:f>V19*$F$7</x:f>
        <x:v>31080.037453351422</x:v>
      </x:c>
      <x:c r="AB19" s="101" t="n">
        <x:f>IF(U19&lt;=12,$G$7,$H$7)</x:f>
        <x:v>60000</x:v>
      </x:c>
      <x:c r="AC19" s="101" t="n">
        <x:f>Y19-Z19-Y19*Premissas!$C$16-AA19-AB19</x:f>
        <x:v>-39272.93855164676</x:v>
      </x:c>
      <x:c r="AD19" s="78"/>
      <x:c r="AE19" s="78"/>
    </x:row>
    <x:row r="20">
      <x:c r="A20" s="104" t="n">
        <x:v>10</x:v>
      </x:c>
      <x:c r="B20" s="102" t="n">
        <x:f>$C$5*(1+$D$5)^(A20-1)</x:f>
        <x:v>5.975462843111555</x:v>
      </x:c>
      <x:c r="C20" s="102" t="n">
        <x:f>D19*$E$5</x:f>
        <x:v>2.6766635053135235</x:v>
      </x:c>
      <x:c r="D20" s="101" t="n">
        <x:f>D19+B20-C20</x:f>
        <x:v>47.9098577596901</x:v>
      </x:c>
      <x:c r="E20" s="101" t="n">
        <x:f>D20*$I$5</x:f>
        <x:v>9965.25041401554</x:v>
      </x:c>
      <x:c r="F20" s="101" t="n">
        <x:f>D20*Perfis_Uso!$B$13+Premissas!$C$20</x:f>
        <x:v>1906.0977426582094</x:v>
      </x:c>
      <x:c r="G20" s="101" t="n">
        <x:f>B20*$F$5</x:f>
        <x:v>5377.9165588004</x:v>
      </x:c>
      <x:c r="H20" s="101" t="n">
        <x:f>IF(A20&lt;=12,$G$5,$H$5)</x:f>
        <x:v>8000</x:v>
      </x:c>
      <x:c r="I20" s="101" t="n">
        <x:f>E20-F20-E20*Premissas!$C$16-G20-H20</x:f>
        <x:v>-6365.115180914701</x:v>
      </x:c>
      <x:c r="J20" s="78"/>
      <x:c r="K20" s="104" t="n">
        <x:v>10</x:v>
      </x:c>
      <x:c r="L20" s="102" t="n">
        <x:f>$C$6*(1+$D$6)^(K20-1)</x:f>
        <x:v>17.07974174905782</x:v>
      </x:c>
      <x:c r="M20" s="102" t="n">
        <x:f>N19*$E$6</x:f>
        <x:v>3.638198908397669</x:v>
      </x:c>
      <x:c r="N20" s="101" t="n">
        <x:f>N19+L20-M20</x:f>
        <x:v>134.71483978724913</x:v>
      </x:c>
      <x:c r="O20" s="101" t="n">
        <x:f>N20*$I$6</x:f>
        <x:v>28020.68667574782</x:v>
      </x:c>
      <x:c r="P20" s="101" t="n">
        <x:f>N20*Perfis_Uso!$B$13+Premissas!$C$20</x:f>
        <x:v>4938.605985521178</x:v>
      </x:c>
      <x:c r="Q20" s="101" t="n">
        <x:f>L20*$F$6</x:f>
        <x:v>7685.883787076019</x:v>
      </x:c>
      <x:c r="R20" s="101" t="n">
        <x:f>IF(K20&lt;=12,$G$6,$H$6)</x:f>
        <x:v>25000</x:v>
      </x:c>
      <x:c r="S20" s="101" t="n">
        <x:f>O20-P20-O20*Premissas!$C$16-Q20-R20</x:f>
        <x:v>-12545.975197802898</x:v>
      </x:c>
      <x:c r="T20" s="78"/>
      <x:c r="U20" s="104" t="n">
        <x:v>10</x:v>
      </x:c>
      <x:c r="V20" s="102" t="n">
        <x:f>$C$7*(1+$D$7)^(U20-1)</x:f>
        <x:v>50.68436877008079</x:v>
      </x:c>
      <x:c r="W20" s="102" t="n">
        <x:f>X19*$E$7</x:f>
        <x:v>5.1617838851053754</x:v>
      </x:c>
      <x:c r="X20" s="101" t="n">
        <x:f>X19+V20-W20</x:f>
        <x:v>389.6415105586671</x:v>
      </x:c>
      <x:c r="Y20" s="101" t="n">
        <x:f>X20*$I$7</x:f>
        <x:v>81045.43419620275</x:v>
      </x:c>
      <x:c r="Z20" s="101" t="n">
        <x:f>X20*Perfis_Uso!$B$13+Premissas!$C$20</x:f>
        <x:v>13844.399321144518</x:v>
      </x:c>
      <x:c r="AA20" s="101" t="n">
        <x:f>V20*$F$7</x:f>
        <x:v>32944.83970055251</x:v>
      </x:c>
      <x:c r="AB20" s="101" t="n">
        <x:f>IF(U20&lt;=12,$G$7,$H$7)</x:f>
        <x:v>60000</x:v>
      </x:c>
      <x:c r="AC20" s="101" t="n">
        <x:f>Y20-Z20-Y20*Premissas!$C$16-AA20-AB20</x:f>
        <x:v>-34253.57541609556</x:v>
      </x:c>
      <x:c r="AD20" s="78"/>
      <x:c r="AE20" s="78"/>
    </x:row>
    <x:row r="21">
      <x:c r="A21" s="104" t="n">
        <x:v>11</x:v>
      </x:c>
      <x:c r="B21" s="102" t="n">
        <x:f>$C$5*(1+$D$5)^(A21-1)</x:f>
        <x:v>6.094972099973787</x:v>
      </x:c>
      <x:c r="C21" s="102" t="n">
        <x:f>D20*$E$5</x:f>
        <x:v>2.874591465581406</x:v>
      </x:c>
      <x:c r="D21" s="101" t="n">
        <x:f>D20+B21-C21</x:f>
        <x:v>51.13023839408248</x:v>
      </x:c>
      <x:c r="E21" s="101" t="n">
        <x:f>D21*$I$5</x:f>
        <x:v>10635.089585969155</x:v>
      </x:c>
      <x:c r="F21" s="101" t="n">
        <x:f>D21*Perfis_Uso!$B$13+Premissas!$C$20</x:f>
        <x:v>2018.6008570053873</x:v>
      </x:c>
      <x:c r="G21" s="101" t="n">
        <x:f>B21*$F$5</x:f>
        <x:v>5485.474889976408</x:v>
      </x:c>
      <x:c r="H21" s="101" t="n">
        <x:f>IF(A21&lt;=12,$G$5,$H$5)</x:f>
        <x:v>8000</x:v>
      </x:c>
      <x:c r="I21" s="101" t="n">
        <x:f>E21-F21-E21*Premissas!$C$16-G21-H21</x:f>
        <x:v>-5985.670567539401</x:v>
      </x:c>
      <x:c r="J21" s="78"/>
      <x:c r="K21" s="104" t="n">
        <x:v>11</x:v>
      </x:c>
      <x:c r="L21" s="102" t="n">
        <x:f>$C$6*(1+$D$6)^(K21-1)</x:f>
        <x:v>17.762931419020134</x:v>
      </x:c>
      <x:c r="M21" s="102" t="n">
        <x:f>N20*$E$6</x:f>
        <x:v>4.041445193617474</x:v>
      </x:c>
      <x:c r="N21" s="101" t="n">
        <x:f>N20+L21-M21</x:f>
        <x:v>148.4363260126518</x:v>
      </x:c>
      <x:c r="O21" s="101" t="n">
        <x:f>N21*$I$6</x:f>
        <x:v>30874.755810631574</x:v>
      </x:c>
      <x:c r="P21" s="101" t="n">
        <x:f>N21*Perfis_Uso!$B$13+Premissas!$C$20</x:f>
        <x:v>5417.962344003617</x:v>
      </x:c>
      <x:c r="Q21" s="101" t="n">
        <x:f>L21*$F$6</x:f>
        <x:v>7993.319138559061</x:v>
      </x:c>
      <x:c r="R21" s="101" t="n">
        <x:f>IF(K21&lt;=12,$G$6,$H$6)</x:f>
        <x:v>25000</x:v>
      </x:c>
      <x:c r="S21" s="101" t="n">
        <x:f>O21-P21-O21*Premissas!$C$16-Q21-R21</x:f>
        <x:v>-10778.375032047417</x:v>
      </x:c>
      <x:c r="T21" s="78"/>
      <x:c r="U21" s="104" t="n">
        <x:v>11</x:v>
      </x:c>
      <x:c r="V21" s="102" t="n">
        <x:f>$C$7*(1+$D$7)^(U21-1)</x:f>
        <x:v>53.72543089628564</x:v>
      </x:c>
      <x:c r="W21" s="102" t="n">
        <x:f>X20*$E$7</x:f>
        <x:v>5.844622658380007</x:v>
      </x:c>
      <x:c r="X21" s="101" t="n">
        <x:f>X20+V21-W21</x:f>
        <x:v>437.52231879657273</x:v>
      </x:c>
      <x:c r="Y21" s="101" t="n">
        <x:f>X21*$I$7</x:f>
        <x:v>91004.64230968713</x:v>
      </x:c>
      <x:c r="Z21" s="101" t="n">
        <x:f>X21*Perfis_Uso!$B$13+Premissas!$C$20</x:f>
        <x:v>15517.10222672535</x:v>
      </x:c>
      <x:c r="AA21" s="101" t="n">
        <x:f>V21*$F$7</x:f>
        <x:v>34921.53008258566</x:v>
      </x:c>
      <x:c r="AB21" s="101" t="n">
        <x:f>IF(U21&lt;=12,$G$7,$H$7)</x:f>
        <x:v>60000</x:v>
      </x:c>
      <x:c r="AC21" s="101" t="n">
        <x:f>Y21-Z21-Y21*Premissas!$C$16-AA21-AB21</x:f>
        <x:v>-28989.47744214102</x:v>
      </x:c>
      <x:c r="AD21" s="78"/>
      <x:c r="AE21" s="78"/>
    </x:row>
    <x:row r="22">
      <x:c r="A22" s="104" t="n">
        <x:v>12</x:v>
      </x:c>
      <x:c r="B22" s="102" t="n">
        <x:f>$C$5*(1+$D$5)^(A22-1)</x:f>
        <x:v>6.216871541973262</x:v>
      </x:c>
      <x:c r="C22" s="102" t="n">
        <x:f>D21*$E$5</x:f>
        <x:v>3.067814303644949</x:v>
      </x:c>
      <x:c r="D22" s="101" t="n">
        <x:f>D21+B22-C22</x:f>
        <x:v>54.27929563241079</x:v>
      </x:c>
      <x:c r="E22" s="101" t="n">
        <x:f>D22*$I$5</x:f>
        <x:v>11290.093491541445</x:v>
      </x:c>
      <x:c r="F22" s="101" t="n">
        <x:f>D22*Perfis_Uso!$B$13+Premissas!$C$20</x:f>
        <x:v>2128.6123080698676</x:v>
      </x:c>
      <x:c r="G22" s="101" t="n">
        <x:f>B22*$F$5</x:f>
        <x:v>5595.184387775936</x:v>
      </x:c>
      <x:c r="H22" s="101" t="n">
        <x:f>IF(A22&lt;=12,$G$5,$H$5)</x:f>
        <x:v>8000</x:v>
      </x:c>
      <x:c r="I22" s="101" t="n">
        <x:f>E22-F22-E22*Premissas!$C$16-G22-H22</x:f>
        <x:v>-5619.1630209162095</x:v>
      </x:c>
      <x:c r="J22" s="78"/>
      <x:c r="K22" s="104" t="n">
        <x:v>12</x:v>
      </x:c>
      <x:c r="L22" s="102" t="n">
        <x:f>$C$6*(1+$D$6)^(K22-1)</x:f>
        <x:v>18.47344867578094</x:v>
      </x:c>
      <x:c r="M22" s="102" t="n">
        <x:f>N21*$E$6</x:f>
        <x:v>4.453089780379553</x:v>
      </x:c>
      <x:c r="N22" s="101" t="n">
        <x:f>N21+L22-M22</x:f>
        <x:v>162.45668490805318</x:v>
      </x:c>
      <x:c r="O22" s="101" t="n">
        <x:f>N22*$I$6</x:f>
        <x:v>33790.99046087506</x:v>
      </x:c>
      <x:c r="P22" s="101" t="n">
        <x:f>N22*Perfis_Uso!$B$13+Premissas!$C$20</x:f>
        <x:v>5907.759737253505</x:v>
      </x:c>
      <x:c r="Q22" s="101" t="n">
        <x:f>L22*$F$6</x:f>
        <x:v>8313.051904101423</x:v>
      </x:c>
      <x:c r="R22" s="101" t="n">
        <x:f>IF(K22&lt;=12,$G$6,$H$6)</x:f>
        <x:v>25000</x:v>
      </x:c>
      <x:c r="S22" s="101" t="n">
        <x:f>O22-P22-O22*Premissas!$C$16-Q22-R22</x:f>
        <x:v>-8977.875178871753</x:v>
      </x:c>
      <x:c r="T22" s="78"/>
      <x:c r="U22" s="104" t="n">
        <x:v>12</x:v>
      </x:c>
      <x:c r="V22" s="102" t="n">
        <x:f>$C$7*(1+$D$7)^(U22-1)</x:f>
        <x:v>56.94895675006278</x:v>
      </x:c>
      <x:c r="W22" s="102" t="n">
        <x:f>X21*$E$7</x:f>
        <x:v>6.562834781948591</x:v>
      </x:c>
      <x:c r="X22" s="101" t="n">
        <x:f>X21+V22-W22</x:f>
        <x:v>487.90844076468693</x:v>
      </x:c>
      <x:c r="Y22" s="101" t="n">
        <x:f>X22*$I$7</x:f>
        <x:v>101484.95567905488</x:v>
      </x:c>
      <x:c r="Z22" s="101" t="n">
        <x:f>X22*Perfis_Uso!$B$13+Premissas!$C$20</x:f>
        <x:v>17277.327580446352</x:v>
      </x:c>
      <x:c r="AA22" s="101" t="n">
        <x:f>V22*$F$7</x:f>
        <x:v>37016.821887540806</x:v>
      </x:c>
      <x:c r="AB22" s="101" t="n">
        <x:f>IF(U22&lt;=12,$G$7,$H$7)</x:f>
        <x:v>60000</x:v>
      </x:c>
      <x:c r="AC22" s="101" t="n">
        <x:f>Y22-Z22-Y22*Premissas!$C$16-AA22-AB22</x:f>
        <x:v>-23465.11413523303</x:v>
      </x:c>
      <x:c r="AD22" s="78"/>
      <x:c r="AE22" s="78"/>
    </x:row>
    <x:row r="23">
      <x:c r="A23" s="104" t="n">
        <x:v>13</x:v>
      </x:c>
      <x:c r="B23" s="102" t="n">
        <x:f>$C$5*(1+$D$5)^(A23-1)</x:f>
        <x:v>6.341208972812727</x:v>
      </x:c>
      <x:c r="C23" s="102" t="n">
        <x:f>D22*$E$5</x:f>
        <x:v>3.2567577379446475</x:v>
      </x:c>
      <x:c r="D23" s="101" t="n">
        <x:f>D22+B23-C23</x:f>
        <x:v>57.36374686727888</x:v>
      </x:c>
      <x:c r="E23" s="101" t="n">
        <x:f>D23*$I$5</x:f>
        <x:v>11931.659348394007</x:v>
      </x:c>
      <x:c r="F23" s="101" t="n">
        <x:f>D23*Perfis_Uso!$B$13+Premissas!$C$20</x:f>
        <x:v>2236.3667661201753</x:v>
      </x:c>
      <x:c r="G23" s="101" t="n">
        <x:f>B23*$F$5</x:f>
        <x:v>5707.088075531455</x:v>
      </x:c>
      <x:c r="H23" s="101" t="n">
        <x:f>IF(A23&lt;=12,$G$5,$H$5)</x:f>
        <x:v>12000</x:v>
      </x:c>
      <x:c r="I23" s="101" t="n">
        <x:f>E23-F23-E23*Premissas!$C$16-G23-H23</x:f>
        <x:v>-9264.619724838994</x:v>
      </x:c>
      <x:c r="J23" s="78"/>
      <x:c r="K23" s="104" t="n">
        <x:v>13</x:v>
      </x:c>
      <x:c r="L23" s="102" t="n">
        <x:f>$C$6*(1+$D$6)^(K23-1)</x:f>
        <x:v>19.21238662281218</x:v>
      </x:c>
      <x:c r="M23" s="102" t="n">
        <x:f>N22*$E$6</x:f>
        <x:v>4.8737005472415955</x:v>
      </x:c>
      <x:c r="N23" s="101" t="n">
        <x:f>N22+L23-M23</x:f>
        <x:v>176.79537098362377</x:v>
      </x:c>
      <x:c r="O23" s="101" t="n">
        <x:f>N23*$I$6</x:f>
        <x:v>36773.43716459374</x:v>
      </x:c>
      <x:c r="P23" s="101" t="n">
        <x:f>N23*Perfis_Uso!$B$13+Premissas!$C$20</x:f>
        <x:v>6408.677803248697</x:v>
      </x:c>
      <x:c r="Q23" s="101" t="n">
        <x:f>L23*$F$6</x:f>
        <x:v>8645.57398026548</x:v>
      </x:c>
      <x:c r="R23" s="101" t="n">
        <x:f>IF(K23&lt;=12,$G$6,$H$6)</x:f>
        <x:v>25000</x:v>
      </x:c>
      <x:c r="S23" s="101" t="n">
        <x:f>O23-P23-O23*Premissas!$C$16-Q23-R23</x:f>
        <x:v>-7142.025521202777</x:v>
      </x:c>
      <x:c r="T23" s="78"/>
      <x:c r="U23" s="104" t="n">
        <x:v>13</x:v>
      </x:c>
      <x:c r="V23" s="102" t="n">
        <x:f>$C$7*(1+$D$7)^(U23-1)</x:f>
        <x:v>60.36589415506654</x:v>
      </x:c>
      <x:c r="W23" s="102" t="n">
        <x:f>X22*$E$7</x:f>
        <x:v>7.318626611470304</x:v>
      </x:c>
      <x:c r="X23" s="101" t="n">
        <x:f>X22+V23-W23</x:f>
        <x:v>540.9557083082832</x:v>
      </x:c>
      <x:c r="Y23" s="101" t="n">
        <x:f>X23*$I$7</x:f>
        <x:v>112518.78732812291</x:v>
      </x:c>
      <x:c r="Z23" s="101" t="n">
        <x:f>X23*Perfis_Uso!$B$13+Premissas!$C$20</x:f>
        <x:v>19130.51932508885</x:v>
      </x:c>
      <x:c r="AA23" s="101" t="n">
        <x:f>V23*$F$7</x:f>
        <x:v>39237.831200793255</x:v>
      </x:c>
      <x:c r="AB23" s="101" t="n">
        <x:f>IF(U23&lt;=12,$G$7,$H$7)</x:f>
        <x:v>60000</x:v>
      </x:c>
      <x:c r="AC23" s="101" t="n">
        <x:f>Y23-Z23-Y23*Premissas!$C$16-AA23-AB23</x:f>
        <x:v>-17664.035867212107</x:v>
      </x:c>
      <x:c r="AD23" s="78"/>
      <x:c r="AE23" s="78"/>
    </x:row>
    <x:row r="24">
      <x:c r="A24" s="104" t="n">
        <x:v>14</x:v>
      </x:c>
      <x:c r="B24" s="102" t="n">
        <x:f>$C$5*(1+$D$5)^(A24-1)</x:f>
        <x:v>6.4680331522689825</x:v>
      </x:c>
      <x:c r="C24" s="102" t="n">
        <x:f>D23*$E$5</x:f>
        <x:v>3.4418248120367325</x:v>
      </x:c>
      <x:c r="D24" s="101" t="n">
        <x:f>D23+B24-C24</x:f>
        <x:v>60.38995520751112</x:v>
      </x:c>
      <x:c r="E24" s="101" t="n">
        <x:f>D24*$I$5</x:f>
        <x:v>12561.110683162313</x:v>
      </x:c>
      <x:c r="F24" s="101" t="n">
        <x:f>D24*Perfis_Uso!$B$13+Premissas!$C$20</x:f>
        <x:v>2342.0865246181543</x:v>
      </x:c>
      <x:c r="G24" s="101" t="n">
        <x:f>B24*$F$5</x:f>
        <x:v>5821.229837042084</x:v>
      </x:c>
      <x:c r="H24" s="101" t="n">
        <x:f>IF(A24&lt;=12,$G$5,$H$5)</x:f>
        <x:v>12000</x:v>
      </x:c>
      <x:c r="I24" s="101" t="n">
        <x:f>E24-F24-E24*Premissas!$C$16-G24-H24</x:f>
        <x:v>-8921.12230022997</x:v>
      </x:c>
      <x:c r="J24" s="78"/>
      <x:c r="K24" s="104" t="n">
        <x:v>14</x:v>
      </x:c>
      <x:c r="L24" s="102" t="n">
        <x:f>$C$6*(1+$D$6)^(K24-1)</x:f>
        <x:v>19.980882087724666</x:v>
      </x:c>
      <x:c r="M24" s="102" t="n">
        <x:f>N23*$E$6</x:f>
        <x:v>5.303861129508713</x:v>
      </x:c>
      <x:c r="N24" s="101" t="n">
        <x:f>N23+L24-M24</x:f>
        <x:v>191.47239194183973</x:v>
      </x:c>
      <x:c r="O24" s="101" t="n">
        <x:f>N24*$I$6</x:f>
        <x:v>39826.25752390266</x:v>
      </x:c>
      <x:c r="P24" s="101" t="n">
        <x:f>N24*Perfis_Uso!$B$13+Premissas!$C$20</x:f>
        <x:v>6921.415505588546</x:v>
      </x:c>
      <x:c r="Q24" s="101" t="n">
        <x:f>L24*$F$6</x:f>
        <x:v>8991.396939476099</x:v>
      </x:c>
      <x:c r="R24" s="101" t="n">
        <x:f>IF(K24&lt;=12,$G$6,$H$6)</x:f>
        <x:v>25000</x:v>
      </x:c>
      <x:c r="S24" s="101" t="n">
        <x:f>O24-P24-O24*Premissas!$C$16-Q24-R24</x:f>
        <x:v>-5268.311961171763</x:v>
      </x:c>
      <x:c r="T24" s="78"/>
      <x:c r="U24" s="104" t="n">
        <x:v>14</x:v>
      </x:c>
      <x:c r="V24" s="102" t="n">
        <x:f>$C$7*(1+$D$7)^(U24-1)</x:f>
        <x:v>63.98784780437054</x:v>
      </x:c>
      <x:c r="W24" s="102" t="n">
        <x:f>X23*$E$7</x:f>
        <x:v>8.114335624624248</x:v>
      </x:c>
      <x:c r="X24" s="101" t="n">
        <x:f>X23+V24-W24</x:f>
        <x:v>596.8292204880295</x:v>
      </x:c>
      <x:c r="Y24" s="101" t="n">
        <x:f>X24*$I$7</x:f>
        <x:v>124140.47786151012</x:v>
      </x:c>
      <x:c r="Z24" s="101" t="n">
        <x:f>X24*Perfis_Uso!$B$13+Premissas!$C$20</x:f>
        <x:v>21082.44515106266</x:v>
      </x:c>
      <x:c r="AA24" s="101" t="n">
        <x:f>V24*$F$7</x:f>
        <x:v>41592.10107284085</x:v>
      </x:c>
      <x:c r="AB24" s="101" t="n">
        <x:f>IF(U24&lt;=12,$G$7,$H$7)</x:f>
        <x:v>60000</x:v>
      </x:c>
      <x:c r="AC24" s="101" t="n">
        <x:f>Y24-Z24-Y24*Premissas!$C$16-AA24-AB24</x:f>
        <x:v>-11568.818537851948</x:v>
      </x:c>
      <x:c r="AD24" s="78"/>
      <x:c r="AE24" s="78"/>
    </x:row>
    <x:row r="25">
      <x:c r="A25" s="104" t="n">
        <x:v>15</x:v>
      </x:c>
      <x:c r="B25" s="102" t="n">
        <x:f>$C$5*(1+$D$5)^(A25-1)</x:f>
        <x:v>6.597393815314362</x:v>
      </x:c>
      <x:c r="C25" s="102" t="n">
        <x:f>D24*$E$5</x:f>
        <x:v>3.6233973124506673</x:v>
      </x:c>
      <x:c r="D25" s="101" t="n">
        <x:f>D24+B25-C25</x:f>
        <x:v>63.36395171037481</x:v>
      </x:c>
      <x:c r="E25" s="101" t="n">
        <x:f>D25*$I$5</x:f>
        <x:v>13179.70195575796</x:v>
      </x:c>
      <x:c r="F25" s="101" t="n">
        <x:f>D25*Perfis_Uso!$B$13+Premissas!$C$20</x:f>
        <x:v>2445.9822768955582</x:v>
      </x:c>
      <x:c r="G25" s="101" t="n">
        <x:f>B25*$F$5</x:f>
        <x:v>5937.6544337829255</x:v>
      </x:c>
      <x:c r="H25" s="101" t="n">
        <x:f>IF(A25&lt;=12,$G$5,$H$5)</x:f>
        <x:v>12000</x:v>
      </x:c>
      <x:c r="I25" s="101" t="n">
        <x:f>E25-F25-E25*Premissas!$C$16-G25-H25</x:f>
        <x:v>-8587.803460275109</x:v>
      </x:c>
      <x:c r="J25" s="78"/>
      <x:c r="K25" s="104" t="n">
        <x:v>15</x:v>
      </x:c>
      <x:c r="L25" s="102" t="n">
        <x:f>$C$6*(1+$D$6)^(K25-1)</x:f>
        <x:v>20.78011737123365</x:v>
      </x:c>
      <x:c r="M25" s="102" t="n">
        <x:f>N24*$E$6</x:f>
        <x:v>5.744171758255192</x:v>
      </x:c>
      <x:c r="N25" s="101" t="n">
        <x:f>N24+L25-M25</x:f>
        <x:v>206.50833755481818</x:v>
      </x:c>
      <x:c r="O25" s="101" t="n">
        <x:f>N25*$I$6</x:f>
        <x:v>42953.73421140218</x:v>
      </x:c>
      <x:c r="P25" s="101" t="n">
        <x:f>N25*Perfis_Uso!$B$13+Premissas!$C$20</x:f>
        <x:v>7446.69214231569</x:v>
      </x:c>
      <x:c r="Q25" s="101" t="n">
        <x:f>L25*$F$6</x:f>
        <x:v>9351.052817055142</x:v>
      </x:c>
      <x:c r="R25" s="101" t="n">
        <x:f>IF(K25&lt;=12,$G$6,$H$6)</x:f>
        <x:v>25000</x:v>
      </x:c>
      <x:c r="S25" s="101" t="n">
        <x:f>O25-P25-O25*Premissas!$C$16-Q25-R25</x:f>
        <x:v>-3354.1528401658798</x:v>
      </x:c>
      <x:c r="T25" s="78"/>
      <x:c r="U25" s="104" t="n">
        <x:v>15</x:v>
      </x:c>
      <x:c r="V25" s="102" t="n">
        <x:f>$C$7*(1+$D$7)^(U25-1)</x:f>
        <x:v>67.82711867263278</x:v>
      </x:c>
      <x:c r="W25" s="102" t="n">
        <x:f>X24*$E$7</x:f>
        <x:v>8.952438307320442</x:v>
      </x:c>
      <x:c r="X25" s="101" t="n">
        <x:f>X24+V25-W25</x:f>
        <x:v>655.7039008533418</x:v>
      </x:c>
      <x:c r="Y25" s="101" t="n">
        <x:f>X25*$I$7</x:f>
        <x:v>136386.4113774951</x:v>
      </x:c>
      <x:c r="Z25" s="101" t="n">
        <x:f>X25*Perfis_Uso!$B$13+Premissas!$C$20</x:f>
        <x:v>23139.215964597875</x:v>
      </x:c>
      <x:c r="AA25" s="101" t="n">
        <x:f>V25*$F$7</x:f>
        <x:v>44087.627137211304</x:v>
      </x:c>
      <x:c r="AB25" s="101" t="n">
        <x:f>IF(U25&lt;=12,$G$7,$H$7)</x:f>
        <x:v>60000</x:v>
      </x:c>
      <x:c r="AC25" s="101" t="n">
        <x:f>Y25-Z25-Y25*Premissas!$C$16-AA25-AB25</x:f>
        <x:v>-5161.004918951083</x:v>
      </x:c>
      <x:c r="AD25" s="78"/>
      <x:c r="AE25" s="78"/>
    </x:row>
    <x:row r="26">
      <x:c r="A26" s="104" t="n">
        <x:v>16</x:v>
      </x:c>
      <x:c r="B26" s="102" t="n">
        <x:f>$C$5*(1+$D$5)^(A26-1)</x:f>
        <x:v>6.729341691620649</x:v>
      </x:c>
      <x:c r="C26" s="102" t="n">
        <x:f>D25*$E$5</x:f>
        <x:v>3.8018371026224886</x:v>
      </x:c>
      <x:c r="D26" s="101" t="n">
        <x:f>D25+B26-C26</x:f>
        <x:v>66.29145629937298</x:v>
      </x:c>
      <x:c r="E26" s="101" t="n">
        <x:f>D26*$I$5</x:f>
        <x:v>13788.62291026958</x:v>
      </x:c>
      <x:c r="F26" s="101" t="n">
        <x:f>D26*Perfis_Uso!$B$13+Premissas!$C$20</x:f>
        <x:v>2548.2538469114083</x:v>
      </x:c>
      <x:c r="G26" s="101" t="n">
        <x:f>B26*$F$5</x:f>
        <x:v>6056.407522458585</x:v>
      </x:c>
      <x:c r="H26" s="101" t="n">
        <x:f>IF(A26&lt;=12,$G$5,$H$5)</x:f>
        <x:v>12000</x:v>
      </x:c>
      <x:c r="I26" s="101" t="n">
        <x:f>E26-F26-E26*Premissas!$C$16-G26-H26</x:f>
        <x:v>-8263.84386467872</x:v>
      </x:c>
      <x:c r="J26" s="78"/>
      <x:c r="K26" s="104" t="n">
        <x:v>16</x:v>
      </x:c>
      <x:c r="L26" s="102" t="n">
        <x:f>$C$6*(1+$D$6)^(K26-1)</x:f>
        <x:v>21.611322066082998</x:v>
      </x:c>
      <x:c r="M26" s="102" t="n">
        <x:f>N25*$E$6</x:f>
        <x:v>6.195250126644545</x:v>
      </x:c>
      <x:c r="N26" s="101" t="n">
        <x:f>N25+L26-M26</x:f>
        <x:v>221.92440949425665</x:v>
      </x:c>
      <x:c r="O26" s="101" t="n">
        <x:f>N26*$I$6</x:f>
        <x:v>46160.277174805386</x:v>
      </x:c>
      <x:c r="P26" s="101" t="n">
        <x:f>N26*Perfis_Uso!$B$13+Premissas!$C$20</x:f>
        <x:v>7985.248388016813</x:v>
      </x:c>
      <x:c r="Q26" s="101" t="n">
        <x:f>L26*$F$6</x:f>
        <x:v>9725.09492973735</x:v>
      </x:c>
      <x:c r="R26" s="101" t="n">
        <x:f>IF(K26&lt;=12,$G$6,$H$6)</x:f>
        <x:v>25000</x:v>
      </x:c>
      <x:c r="S26" s="101" t="n">
        <x:f>O26-P26-O26*Premissas!$C$16-Q26-R26</x:f>
        <x:v>-1396.8952463033493</x:v>
      </x:c>
      <x:c r="T26" s="78"/>
      <x:c r="U26" s="104" t="n">
        <x:v>16</x:v>
      </x:c>
      <x:c r="V26" s="102" t="n">
        <x:f>$C$7*(1+$D$7)^(U26-1)</x:f>
        <x:v>71.89674579299074</x:v>
      </x:c>
      <x:c r="W26" s="102" t="n">
        <x:f>X25*$E$7</x:f>
        <x:v>9.835558512800127</x:v>
      </x:c>
      <x:c r="X26" s="101" t="n">
        <x:f>X25+V26-W26</x:f>
        <x:v>717.7650881335323</x:v>
      </x:c>
      <x:c r="Y26" s="101" t="n">
        <x:f>X26*$I$7</x:f>
        <x:v>149295.13833177474</x:v>
      </x:c>
      <x:c r="Z26" s="101" t="n">
        <x:f>X26*Perfis_Uso!$B$13+Premissas!$C$20</x:f>
        <x:v>25307.306523378127</x:v>
      </x:c>
      <x:c r="AA26" s="101" t="n">
        <x:f>V26*$F$7</x:f>
        <x:v>46732.88476544398</x:v>
      </x:c>
      <x:c r="AB26" s="101" t="n">
        <x:f>IF(U26&lt;=12,$G$7,$H$7)</x:f>
        <x:v>60000</x:v>
      </x:c>
      <x:c r="AC26" s="101" t="n">
        <x:f>Y26-Z26-Y26*Premissas!$C$16-AA26-AB26</x:f>
        <x:v>1578.9575181162872</x:v>
      </x:c>
      <x:c r="AD26" s="78"/>
      <x:c r="AE26" s="78"/>
    </x:row>
    <x:row r="27">
      <x:c r="A27" s="104" t="n">
        <x:v>17</x:v>
      </x:c>
      <x:c r="B27" s="102" t="n">
        <x:f>$C$5*(1+$D$5)^(A27-1)</x:f>
        <x:v>6.863928525453062</x:v>
      </x:c>
      <x:c r="C27" s="102" t="n">
        <x:f>D26*$E$5</x:f>
        <x:v>3.9774873779623787</x:v>
      </x:c>
      <x:c r="D27" s="101" t="n">
        <x:f>D26+B27-C27</x:f>
        <x:v>69.17789744686367</x:v>
      </x:c>
      <x:c r="E27" s="101" t="n">
        <x:f>D27*$I$5</x:f>
        <x:v>14389.002668947644</x:v>
      </x:c>
      <x:c r="F27" s="101" t="n">
        <x:f>D27*Perfis_Uso!$B$13+Premissas!$C$20</x:f>
        <x:v>2649.090876858899</x:v>
      </x:c>
      <x:c r="G27" s="101" t="n">
        <x:f>B27*$F$5</x:f>
        <x:v>6177.535672907756</x:v>
      </x:c>
      <x:c r="H27" s="101" t="n">
        <x:f>IF(A27&lt;=12,$G$5,$H$5)</x:f>
        <x:v>12000</x:v>
      </x:c>
      <x:c r="I27" s="101" t="n">
        <x:f>E27-F27-E27*Premissas!$C$16-G27-H27</x:f>
        <x:v>-7948.469161058514</x:v>
      </x:c>
      <x:c r="J27" s="78"/>
      <x:c r="K27" s="104" t="n">
        <x:v>17</x:v>
      </x:c>
      <x:c r="L27" s="102" t="n">
        <x:f>$C$6*(1+$D$6)^(K27-1)</x:f>
        <x:v>22.47577494872632</x:v>
      </x:c>
      <x:c r="M27" s="102" t="n">
        <x:f>N26*$E$6</x:f>
        <x:v>6.657732284827699</x:v>
      </x:c>
      <x:c r="N27" s="101" t="n">
        <x:f>N26+L27-M27</x:f>
        <x:v>237.7424521581553</x:v>
      </x:c>
      <x:c r="O27" s="101" t="n">
        <x:f>N27*$I$6</x:f>
        <x:v>49450.4300488963</x:v>
      </x:c>
      <x:c r="P27" s="101" t="n">
        <x:f>N27*Perfis_Uso!$B$13+Premissas!$C$20</x:f>
        <x:v>8537.847370745725</x:v>
      </x:c>
      <x:c r="Q27" s="101" t="n">
        <x:f>L27*$F$6</x:f>
        <x:v>10114.098726926843</x:v>
      </x:c>
      <x:c r="R27" s="101" t="n">
        <x:f>IF(K27&lt;=12,$G$6,$H$6)</x:f>
        <x:v>25000</x:v>
      </x:c>
      <x:c r="S27" s="101" t="n">
        <x:f>O27-P27-O27*Premissas!$C$16-Q27-R27</x:f>
        <x:v>606.1887960896202</x:v>
      </x:c>
      <x:c r="T27" s="78"/>
      <x:c r="U27" s="104" t="n">
        <x:v>17</x:v>
      </x:c>
      <x:c r="V27" s="102" t="n">
        <x:f>$C$7*(1+$D$7)^(U27-1)</x:f>
        <x:v>76.2105505405702</x:v>
      </x:c>
      <x:c r="W27" s="102" t="n">
        <x:f>X26*$E$7</x:f>
        <x:v>10.766476322002985</x:v>
      </x:c>
      <x:c r="X27" s="101" t="n">
        <x:f>X26+V27-W27</x:f>
        <x:v>783.2091623520996</x:v>
      </x:c>
      <x:c r="Y27" s="101" t="n">
        <x:f>X27*$I$7</x:f>
        <x:v>162907.5057692367</x:v>
      </x:c>
      <x:c r="Z27" s="101" t="n">
        <x:f>X27*Perfis_Uso!$B$13+Premissas!$C$20</x:f>
        <x:v>27593.577309671633</x:v>
      </x:c>
      <x:c r="AA27" s="101" t="n">
        <x:f>V27*$F$7</x:f>
        <x:v>49536.85785137063</x:v>
      </x:c>
      <x:c r="AB27" s="101" t="n">
        <x:f>IF(U27&lt;=12,$G$7,$H$7)</x:f>
        <x:v>60000</x:v>
      </x:c>
      <x:c r="AC27" s="101" t="n">
        <x:f>Y27-Z27-Y27*Premissas!$C$16-AA27-AB27</x:f>
        <x:v>8671.782502424583</x:v>
      </x:c>
      <x:c r="AD27" s="78"/>
      <x:c r="AE27" s="78"/>
    </x:row>
    <x:row r="28">
      <x:c r="A28" s="104" t="n">
        <x:v>18</x:v>
      </x:c>
      <x:c r="B28" s="102" t="n">
        <x:f>$C$5*(1+$D$5)^(A28-1)</x:f>
        <x:v>7.001207095962124</x:v>
      </x:c>
      <x:c r="C28" s="102" t="n">
        <x:f>D27*$E$5</x:f>
        <x:v>4.15067384681182</x:v>
      </x:c>
      <x:c r="D28" s="101" t="n">
        <x:f>D27+B28-C28</x:f>
        <x:v>72.02843069601397</x:v>
      </x:c>
      <x:c r="E28" s="101" t="n">
        <x:f>D28*$I$5</x:f>
        <x:v>14981.913584770906</x:v>
      </x:c>
      <x:c r="F28" s="101" t="n">
        <x:f>D28*Perfis_Uso!$B$13+Premissas!$C$20</x:f>
        <x:v>2748.6734742247836</x:v>
      </x:c>
      <x:c r="G28" s="101" t="n">
        <x:f>B28*$F$5</x:f>
        <x:v>6301.086386365912</x:v>
      </x:c>
      <x:c r="H28" s="101" t="n">
        <x:f>IF(A28&lt;=12,$G$5,$H$5)</x:f>
        <x:v>12000</x:v>
      </x:c>
      <x:c r="I28" s="101" t="n">
        <x:f>E28-F28-E28*Premissas!$C$16-G28-H28</x:f>
        <x:v>-7640.947202220736</x:v>
      </x:c>
      <x:c r="J28" s="78"/>
      <x:c r="K28" s="104" t="n">
        <x:v>18</x:v>
      </x:c>
      <x:c r="L28" s="102" t="n">
        <x:f>$C$6*(1+$D$6)^(K28-1)</x:f>
        <x:v>23.374805946675373</x:v>
      </x:c>
      <x:c r="M28" s="102" t="n">
        <x:f>N27*$E$6</x:f>
        <x:v>7.132273564744659</x:v>
      </x:c>
      <x:c r="N28" s="101" t="n">
        <x:f>N27+L28-M28</x:f>
        <x:v>253.98498454008603</x:v>
      </x:c>
      <x:c r="O28" s="101" t="n">
        <x:f>N28*$I$6</x:f>
        <x:v>52828.876784337896</x:v>
      </x:c>
      <x:c r="P28" s="101" t="n">
        <x:f>N28*Perfis_Uso!$B$13+Premissas!$C$20</x:f>
        <x:v>9105.275785367548</x:v>
      </x:c>
      <x:c r="Q28" s="101" t="n">
        <x:f>L28*$F$6</x:f>
        <x:v>10518.662676003918</x:v>
      </x:c>
      <x:c r="R28" s="101" t="n">
        <x:f>IF(K28&lt;=12,$G$6,$H$6)</x:f>
        <x:v>25000</x:v>
      </x:c>
      <x:c r="S28" s="101" t="n">
        <x:f>O28-P28-O28*Premissas!$C$16-Q28-R28</x:f>
        <x:v>2657.9062606109474</x:v>
      </x:c>
      <x:c r="T28" s="78"/>
      <x:c r="U28" s="104" t="n">
        <x:v>18</x:v>
      </x:c>
      <x:c r="V28" s="102" t="n">
        <x:f>$C$7*(1+$D$7)^(U28-1)</x:f>
        <x:v>80.78318357300441</x:v>
      </x:c>
      <x:c r="W28" s="102" t="n">
        <x:f>X27*$E$7</x:f>
        <x:v>11.748137435281494</x:v>
      </x:c>
      <x:c r="X28" s="101" t="n">
        <x:f>X27+V28-W28</x:f>
        <x:v>852.2442084898225</x:v>
      </x:c>
      <x:c r="Y28" s="101" t="n">
        <x:f>X28*$I$7</x:f>
        <x:v>177266.7953658831</x:v>
      </x:c>
      <x:c r="Z28" s="101" t="n">
        <x:f>X28*Perfis_Uso!$B$13+Premissas!$C$20</x:f>
        <x:v>30005.29771521939</x:v>
      </x:c>
      <x:c r="AA28" s="101" t="n">
        <x:f>V28*$F$7</x:f>
        <x:v>52509.069322452866</x:v>
      </x:c>
      <x:c r="AB28" s="101" t="n">
        <x:f>IF(U28&lt;=12,$G$7,$H$7)</x:f>
        <x:v>60000</x:v>
      </x:c>
      <x:c r="AC28" s="101" t="n">
        <x:f>Y28-Z28-Y28*Premissas!$C$16-AA28-AB28</x:f>
        <x:v>16139.414814793126</x:v>
      </x:c>
      <x:c r="AD28" s="78"/>
      <x:c r="AE28" s="78"/>
    </x:row>
    <x:row r="29">
      <x:c r="A29" s="104" t="n">
        <x:v>19</x:v>
      </x:c>
      <x:c r="B29" s="102" t="n">
        <x:f>$C$5*(1+$D$5)^(A29-1)</x:f>
        <x:v>7.141231237881367</x:v>
      </x:c>
      <x:c r="C29" s="102" t="n">
        <x:f>D28*$E$5</x:f>
        <x:v>4.321705841760838</x:v>
      </x:c>
      <x:c r="D29" s="101" t="n">
        <x:f>D28+B29-C29</x:f>
        <x:v>74.84795609213451</x:v>
      </x:c>
      <x:c r="E29" s="101" t="n">
        <x:f>D29*$I$5</x:f>
        <x:v>15568.374867163979</x:v>
      </x:c>
      <x:c r="F29" s="101" t="n">
        <x:f>D29*Perfis_Uso!$B$13+Premissas!$C$20</x:f>
        <x:v>2847.172820748264</x:v>
      </x:c>
      <x:c r="G29" s="101" t="n">
        <x:f>B29*$F$5</x:f>
        <x:v>6427.108114093231</x:v>
      </x:c>
      <x:c r="H29" s="101" t="n">
        <x:f>IF(A29&lt;=12,$G$5,$H$5)</x:f>
        <x:v>12000</x:v>
      </x:c>
      <x:c r="I29" s="101" t="n">
        <x:f>E29-F29-E29*Premissas!$C$16-G29-H29</x:f>
        <x:v>-7340.585428729735</x:v>
      </x:c>
      <x:c r="J29" s="78"/>
      <x:c r="K29" s="104" t="n">
        <x:v>19</x:v>
      </x:c>
      <x:c r="L29" s="102" t="n">
        <x:f>$C$6*(1+$D$6)^(K29-1)</x:f>
        <x:v>24.30979818454239</x:v>
      </x:c>
      <x:c r="M29" s="102" t="n">
        <x:f>N28*$E$6</x:f>
        <x:v>7.61954953620258</x:v>
      </x:c>
      <x:c r="N29" s="101" t="n">
        <x:f>N28+L29-M29</x:f>
        <x:v>270.67523318842586</x:v>
      </x:c>
      <x:c r="O29" s="101" t="n">
        <x:f>N29*$I$6</x:f>
        <x:v>56300.44850319258</x:v>
      </x:c>
      <x:c r="P29" s="101" t="n">
        <x:f>N29*Perfis_Uso!$B$13+Premissas!$C$20</x:f>
        <x:v>9688.345044980484</x:v>
      </x:c>
      <x:c r="Q29" s="101" t="n">
        <x:f>L29*$F$6</x:f>
        <x:v>10939.409183044076</x:v>
      </x:c>
      <x:c r="R29" s="101" t="n">
        <x:f>IF(K29&lt;=12,$G$6,$H$6)</x:f>
        <x:v>25000</x:v>
      </x:c>
      <x:c r="S29" s="101" t="n">
        <x:f>O29-P29-O29*Premissas!$C$16-Q29-R29</x:f>
        <x:v>4761.147182332796</x:v>
      </x:c>
      <x:c r="T29" s="78"/>
      <x:c r="U29" s="104" t="n">
        <x:v>19</x:v>
      </x:c>
      <x:c r="V29" s="102" t="n">
        <x:f>$C$7*(1+$D$7)^(U29-1)</x:f>
        <x:v>85.63017458738469</x:v>
      </x:c>
      <x:c r="W29" s="102" t="n">
        <x:f>X28*$E$7</x:f>
        <x:v>12.783663127347337</x:v>
      </x:c>
      <x:c r="X29" s="101" t="n">
        <x:f>X28+V29-W29</x:f>
        <x:v>925.0907199498598</x:v>
      </x:c>
      <x:c r="Y29" s="101" t="n">
        <x:f>X29*$I$7</x:f>
        <x:v>192418.86974957085</x:v>
      </x:c>
      <x:c r="Z29" s="101" t="n">
        <x:f>X29*Perfis_Uso!$B$13+Premissas!$C$20</x:f>
        <x:v>32550.17061659549</x:v>
      </x:c>
      <x:c r="AA29" s="101" t="n">
        <x:f>V29*$F$7</x:f>
        <x:v>55659.61348180005</x:v>
      </x:c>
      <x:c r="AB29" s="101" t="n">
        <x:f>IF(U29&lt;=12,$G$7,$H$7)</x:f>
        <x:v>60000</x:v>
      </x:c>
      <x:c r="AC29" s="101" t="n">
        <x:f>Y29-Z29-Y29*Premissas!$C$16-AA29-AB29</x:f>
        <x:v>24005.104327470384</x:v>
      </x:c>
      <x:c r="AD29" s="78"/>
      <x:c r="AE29" s="78"/>
    </x:row>
    <x:row r="30">
      <x:c r="A30" s="104" t="n">
        <x:v>20</x:v>
      </x:c>
      <x:c r="B30" s="102" t="n">
        <x:f>$C$5*(1+$D$5)^(A30-1)</x:f>
        <x:v>7.2840558626389935</x:v>
      </x:c>
      <x:c r="C30" s="102" t="n">
        <x:f>D29*$E$5</x:f>
        <x:v>4.49087736552807</x:v>
      </x:c>
      <x:c r="D30" s="101" t="n">
        <x:f>D29+B30-C30</x:f>
        <x:v>77.64113458924544</x:v>
      </x:c>
      <x:c r="E30" s="101" t="n">
        <x:f>D30*$I$5</x:f>
        <x:v>16149.355994563051</x:v>
      </x:c>
      <x:c r="F30" s="101" t="n">
        <x:f>D30*Perfis_Uso!$B$13+Premissas!$C$20</x:f>
        <x:v>2944.7517455798743</x:v>
      </x:c>
      <x:c r="G30" s="101" t="n">
        <x:f>B30*$F$5</x:f>
        <x:v>6555.650276375094</x:v>
      </x:c>
      <x:c r="H30" s="101" t="n">
        <x:f>IF(A30&lt;=12,$G$5,$H$5)</x:f>
        <x:v>12000</x:v>
      </x:c>
      <x:c r="I30" s="101" t="n">
        <x:f>E30-F30-E30*Premissas!$C$16-G30-H30</x:f>
        <x:v>-7046.728406821036</x:v>
      </x:c>
      <x:c r="J30" s="78"/>
      <x:c r="K30" s="104" t="n">
        <x:v>20</x:v>
      </x:c>
      <x:c r="L30" s="102" t="n">
        <x:f>$C$6*(1+$D$6)^(K30-1)</x:f>
        <x:v>25.282190111924088</x:v>
      </x:c>
      <x:c r="M30" s="102" t="n">
        <x:f>N29*$E$6</x:f>
        <x:v>8.120256995652776</x:v>
      </x:c>
      <x:c r="N30" s="101" t="n">
        <x:f>N29+L30-M30</x:f>
        <x:v>287.8371663046972</x:v>
      </x:c>
      <x:c r="O30" s="101" t="n">
        <x:f>N30*$I$6</x:f>
        <x:v>59870.13059137701</x:v>
      </x:c>
      <x:c r="P30" s="101" t="n">
        <x:f>N30*Perfis_Uso!$B$13+Premissas!$C$20</x:f>
        <x:v>10287.892472131989</x:v>
      </x:c>
      <x:c r="Q30" s="101" t="n">
        <x:f>L30*$F$6</x:f>
        <x:v>11376.98555036584</x:v>
      </x:c>
      <x:c r="R30" s="101" t="n">
        <x:f>IF(K30&lt;=12,$G$6,$H$6)</x:f>
        <x:v>25000</x:v>
      </x:c>
      <x:c r="S30" s="101" t="n">
        <x:f>O30-P30-O30*Premissas!$C$16-Q30-R30</x:f>
        <x:v>6918.888856784601</x:v>
      </x:c>
      <x:c r="T30" s="78"/>
      <x:c r="U30" s="104" t="n">
        <x:v>20</x:v>
      </x:c>
      <x:c r="V30" s="102" t="n">
        <x:f>$C$7*(1+$D$7)^(U30-1)</x:f>
        <x:v>90.76798506262776</x:v>
      </x:c>
      <x:c r="W30" s="102" t="n">
        <x:f>X29*$E$7</x:f>
        <x:v>13.876360799247896</x:v>
      </x:c>
      <x:c r="X30" s="101" t="n">
        <x:f>X29+V30-W30</x:f>
        <x:v>1001.9823442132397</x:v>
      </x:c>
      <x:c r="Y30" s="101" t="n">
        <x:f>X30*$I$7</x:f>
        <x:v>208412.32759635386</x:v>
      </x:c>
      <x:c r="Z30" s="101" t="n">
        <x:f>X30*Perfis_Uso!$B$13+Premissas!$C$20</x:f>
        <x:v>35236.358424477214</x:v>
      </x:c>
      <x:c r="AA30" s="101" t="n">
        <x:f>V30*$F$7</x:f>
        <x:v>58999.190290708044</x:v>
      </x:c>
      <x:c r="AB30" s="101" t="n">
        <x:f>IF(U30&lt;=12,$G$7,$H$7)</x:f>
        <x:v>60000</x:v>
      </x:c>
      <x:c r="AC30" s="101" t="n">
        <x:f>Y30-Z30-Y30*Premissas!$C$16-AA30-AB30</x:f>
        <x:v>32293.484483551438</x:v>
      </x:c>
      <x:c r="AD30" s="78"/>
      <x:c r="AE30" s="78"/>
    </x:row>
    <x:row r="31">
      <x:c r="A31" s="104" t="n">
        <x:v>21</x:v>
      </x:c>
      <x:c r="B31" s="102" t="n">
        <x:f>$C$5*(1+$D$5)^(A31-1)</x:f>
        <x:v>7.429736979891775</x:v>
      </x:c>
      <x:c r="C31" s="102" t="n">
        <x:f>D30*$E$5</x:f>
        <x:v>4.658468075354726</x:v>
      </x:c>
      <x:c r="D31" s="101" t="n">
        <x:f>D30+B31-C31</x:f>
        <x:v>80.41240349378248</x:v>
      </x:c>
      <x:c r="E31" s="101" t="n">
        <x:f>D31*$I$5</x:f>
        <x:v>16725.779926706757</x:v>
      </x:c>
      <x:c r="F31" s="101" t="n">
        <x:f>D31*Perfis_Uso!$B$13+Premissas!$C$20</x:f>
        <x:v>3041.5652648031178</x:v>
      </x:c>
      <x:c r="G31" s="101" t="n">
        <x:f>B31*$F$5</x:f>
        <x:v>6686.763281902598</x:v>
      </x:c>
      <x:c r="H31" s="101" t="n">
        <x:f>IF(A31&lt;=12,$G$5,$H$5)</x:f>
        <x:v>12000</x:v>
      </x:c>
      <x:c r="I31" s="101" t="n">
        <x:f>E31-F31-E31*Premissas!$C$16-G31-H31</x:f>
        <x:v>-6758.755512303168</x:v>
      </x:c>
      <x:c r="J31" s="78"/>
      <x:c r="K31" s="104" t="n">
        <x:v>21</x:v>
      </x:c>
      <x:c r="L31" s="102" t="n">
        <x:f>$C$6*(1+$D$6)^(K31-1)</x:f>
        <x:v>26.29347771640105</x:v>
      </x:c>
      <x:c r="M31" s="102" t="n">
        <x:f>N30*$E$6</x:f>
        <x:v>8.635114989140915</x:v>
      </x:c>
      <x:c r="N31" s="101" t="n">
        <x:f>N30+L31-M31</x:f>
        <x:v>305.49552903195735</x:v>
      </x:c>
      <x:c r="O31" s="101" t="n">
        <x:f>N31*$I$6</x:f>
        <x:v>63543.07003864713</x:v>
      </x:c>
      <x:c r="P31" s="101" t="n">
        <x:f>N31*Perfis_Uso!$B$13+Premissas!$C$20</x:f>
        <x:v>10904.782531608987</x:v>
      </x:c>
      <x:c r="Q31" s="101" t="n">
        <x:f>L31*$F$6</x:f>
        <x:v>11832.064972380473</x:v>
      </x:c>
      <x:c r="R31" s="101" t="n">
        <x:f>IF(K31&lt;=12,$G$6,$H$6)</x:f>
        <x:v>25000</x:v>
      </x:c>
      <x:c r="S31" s="101" t="n">
        <x:f>O31-P31-O31*Premissas!$C$16-Q31-R31</x:f>
        <x:v>9134.20018059972</x:v>
      </x:c>
      <x:c r="T31" s="78"/>
      <x:c r="U31" s="104" t="n">
        <x:v>21</x:v>
      </x:c>
      <x:c r="V31" s="102" t="n">
        <x:f>$C$7*(1+$D$7)^(U31-1)</x:f>
        <x:v>96.21406416638544</x:v>
      </x:c>
      <x:c r="W31" s="102" t="n">
        <x:f>X30*$E$7</x:f>
        <x:v>15.029735163198595</x:v>
      </x:c>
      <x:c r="X31" s="101" t="n">
        <x:f>X30+V31-W31</x:f>
        <x:v>1083.1666732164265</x:v>
      </x:c>
      <x:c r="Y31" s="101" t="n">
        <x:f>X31*$I$7</x:f>
        <x:v>225298.6680290167</x:v>
      </x:c>
      <x:c r="Z31" s="101" t="n">
        <x:f>X31*Perfis_Uso!$B$13+Premissas!$C$20</x:f>
        <x:v>38072.51069526856</x:v>
      </x:c>
      <x:c r="AA31" s="101" t="n">
        <x:f>V31*$F$7</x:f>
        <x:v>62539.141708150535</x:v>
      </x:c>
      <x:c r="AB31" s="101" t="n">
        <x:f>IF(U31&lt;=12,$G$7,$H$7)</x:f>
        <x:v>60000</x:v>
      </x:c>
      <x:c r="AC31" s="101" t="n">
        <x:f>Y31-Z31-Y31*Premissas!$C$16-AA31-AB31</x:f>
        <x:v>41030.65548255082</x:v>
      </x:c>
      <x:c r="AD31" s="78"/>
      <x:c r="AE31" s="78"/>
    </x:row>
    <x:row r="32">
      <x:c r="A32" s="104" t="n">
        <x:v>22</x:v>
      </x:c>
      <x:c r="B32" s="102" t="n">
        <x:f>$C$5*(1+$D$5)^(A32-1)</x:f>
        <x:v>7.57833171948961</x:v>
      </x:c>
      <x:c r="C32" s="102" t="n">
        <x:f>D31*$E$5</x:f>
        <x:v>4.824744209626949</x:v>
      </x:c>
      <x:c r="D32" s="101" t="n">
        <x:f>D31+B32-C32</x:f>
        <x:v>83.16599100364515</x:v>
      </x:c>
      <x:c r="E32" s="101" t="n">
        <x:f>D32*$I$5</x:f>
        <x:v>17298.52612875819</x:v>
      </x:c>
      <x:c r="F32" s="101" t="n">
        <x:f>D32*Perfis_Uso!$B$13+Premissas!$C$20</x:f>
        <x:v>3137.7610893521282</x:v>
      </x:c>
      <x:c r="G32" s="101" t="n">
        <x:f>B32*$F$5</x:f>
        <x:v>6820.498547540648</x:v>
      </x:c>
      <x:c r="H32" s="101" t="n">
        <x:f>IF(A32&lt;=12,$G$5,$H$5)</x:f>
        <x:v>12000</x:v>
      </x:c>
      <x:c r="I32" s="101" t="n">
        <x:f>E32-F32-E32*Premissas!$C$16-G32-H32</x:f>
        <x:v>-6476.078751654199</x:v>
      </x:c>
      <x:c r="J32" s="78"/>
      <x:c r="K32" s="104" t="n">
        <x:v>22</x:v>
      </x:c>
      <x:c r="L32" s="102" t="n">
        <x:f>$C$6*(1+$D$6)^(K32-1)</x:f>
        <x:v>27.345216825057094</x:v>
      </x:c>
      <x:c r="M32" s="102" t="n">
        <x:f>N31*$E$6</x:f>
        <x:v>9.16486587095872</x:v>
      </x:c>
      <x:c r="N32" s="101" t="n">
        <x:f>N31+L32-M32</x:f>
        <x:v>323.67587998605575</x:v>
      </x:c>
      <x:c r="O32" s="101" t="n">
        <x:f>N32*$I$6</x:f>
        <x:v>67324.5830370996</x:v>
      </x:c>
      <x:c r="P32" s="101" t="n">
        <x:f>N32*Perfis_Uso!$B$13+Premissas!$C$20</x:f>
        <x:v>11539.908106647315</x:v>
      </x:c>
      <x:c r="Q32" s="101" t="n">
        <x:f>L32*$F$6</x:f>
        <x:v>12305.347571275692</x:v>
      </x:c>
      <x:c r="R32" s="101" t="n">
        <x:f>IF(K32&lt;=12,$G$6,$H$6)</x:f>
        <x:v>25000</x:v>
      </x:c>
      <x:c r="S32" s="101" t="n">
        <x:f>O32-P32-O32*Premissas!$C$16-Q32-R32</x:f>
        <x:v>11410.246140281131</x:v>
      </x:c>
      <x:c r="T32" s="78"/>
      <x:c r="U32" s="104" t="n">
        <x:v>22</x:v>
      </x:c>
      <x:c r="V32" s="102" t="n">
        <x:f>$C$7*(1+$D$7)^(U32-1)</x:f>
        <x:v>101.98690801636857</x:v>
      </x:c>
      <x:c r="W32" s="102" t="n">
        <x:f>X31*$E$7</x:f>
        <x:v>16.247500098246398</x:v>
      </x:c>
      <x:c r="X32" s="101" t="n">
        <x:f>X31+V32-W32</x:f>
        <x:v>1168.9060811345487</x:v>
      </x:c>
      <x:c r="Y32" s="101" t="n">
        <x:f>X32*$I$7</x:f>
        <x:v>243132.46487598613</x:v>
      </x:c>
      <x:c r="Z32" s="101" t="n">
        <x:f>X32*Perfis_Uso!$B$13+Premissas!$C$20</x:f>
        <x:v>41067.79339882754</x:v>
      </x:c>
      <x:c r="AA32" s="101" t="n">
        <x:f>V32*$F$7</x:f>
        <x:v>66291.49021063957</x:v>
      </x:c>
      <x:c r="AB32" s="101" t="n">
        <x:f>IF(U32&lt;=12,$G$7,$H$7)</x:f>
        <x:v>60000</x:v>
      </x:c>
      <x:c r="AC32" s="101" t="n">
        <x:f>Y32-Z32-Y32*Premissas!$C$16-AA32-AB32</x:f>
        <x:v>50244.27245454048</x:v>
      </x:c>
      <x:c r="AD32" s="78"/>
      <x:c r="AE32" s="78"/>
    </x:row>
    <x:row r="33">
      <x:c r="A33" s="104" t="n">
        <x:v>23</x:v>
      </x:c>
      <x:c r="B33" s="102" t="n">
        <x:f>$C$5*(1+$D$5)^(A33-1)</x:f>
        <x:v>7.729898353879402</x:v>
      </x:c>
      <x:c r="C33" s="102" t="n">
        <x:f>D32*$E$5</x:f>
        <x:v>4.989959460218708</x:v>
      </x:c>
      <x:c r="D33" s="101" t="n">
        <x:f>D32+B33-C33</x:f>
        <x:v>85.90592989730584</x:v>
      </x:c>
      <x:c r="E33" s="101" t="n">
        <x:f>D33*$I$5</x:f>
        <x:v>17868.433418639615</x:v>
      </x:c>
      <x:c r="F33" s="101" t="n">
        <x:f>D33*Perfis_Uso!$B$13+Premissas!$C$20</x:f>
        <x:v>3233.4801032369414</x:v>
      </x:c>
      <x:c r="G33" s="101" t="n">
        <x:f>B33*$F$5</x:f>
        <x:v>6956.908518491461</x:v>
      </x:c>
      <x:c r="H33" s="101" t="n">
        <x:f>IF(A33&lt;=12,$G$5,$H$5)</x:f>
        <x:v>12000</x:v>
      </x:c>
      <x:c r="I33" s="101" t="n">
        <x:f>E33-F33-E33*Premissas!$C$16-G33-H33</x:f>
        <x:v>-6198.140712045947</x:v>
      </x:c>
      <x:c r="J33" s="78"/>
      <x:c r="K33" s="104" t="n">
        <x:v>23</x:v>
      </x:c>
      <x:c r="L33" s="102" t="n">
        <x:f>$C$6*(1+$D$6)^(K33-1)</x:f>
        <x:v>28.439025498059376</x:v>
      </x:c>
      <x:c r="M33" s="102" t="n">
        <x:f>N32*$E$6</x:f>
        <x:v>9.710276399581671</x:v>
      </x:c>
      <x:c r="N33" s="101" t="n">
        <x:f>N32+L33-M33</x:f>
        <x:v>342.40462908453344</x:v>
      </x:c>
      <x:c r="O33" s="101" t="n">
        <x:f>N33*$I$6</x:f>
        <x:v>71220.16284958295</x:v>
      </x:c>
      <x:c r="P33" s="101" t="n">
        <x:f>N33*Perfis_Uso!$B$13+Premissas!$C$20</x:f>
        <x:v>12194.191820473954</x:v>
      </x:c>
      <x:c r="Q33" s="101" t="n">
        <x:f>L33*$F$6</x:f>
        <x:v>12797.56147412672</x:v>
      </x:c>
      <x:c r="R33" s="101" t="n">
        <x:f>IF(K33&lt;=12,$G$6,$H$6)</x:f>
        <x:v>25000</x:v>
      </x:c>
      <x:c r="S33" s="101" t="n">
        <x:f>O33-P33-O33*Premissas!$C$16-Q33-R33</x:f>
        <x:v>13750.292455776063</x:v>
      </x:c>
      <x:c r="T33" s="78"/>
      <x:c r="U33" s="104" t="n">
        <x:v>23</x:v>
      </x:c>
      <x:c r="V33" s="102" t="n">
        <x:f>$C$7*(1+$D$7)^(U33-1)</x:f>
        <x:v>108.1061224973507</x:v>
      </x:c>
      <x:c r="W33" s="102" t="n">
        <x:f>X32*$E$7</x:f>
        <x:v>17.53359121701823</x:v>
      </x:c>
      <x:c r="X33" s="101" t="n">
        <x:f>X32+V33-W33</x:f>
        <x:v>1259.4786124148811</x:v>
      </x:c>
      <x:c r="Y33" s="101" t="n">
        <x:f>X33*$I$7</x:f>
        <x:v>261971.55138229526</x:v>
      </x:c>
      <x:c r="Z33" s="101" t="n">
        <x:f>X33*Perfis_Uso!$B$13+Premissas!$C$20</x:f>
        <x:v>44231.91994167242</x:v>
      </x:c>
      <x:c r="AA33" s="101" t="n">
        <x:f>V33*$F$7</x:f>
        <x:v>70268.97962327795</x:v>
      </x:c>
      <x:c r="AB33" s="101" t="n">
        <x:f>IF(U33&lt;=12,$G$7,$H$7)</x:f>
        <x:v>60000</x:v>
      </x:c>
      <x:c r="AC33" s="101" t="n">
        <x:f>Y33-Z33-Y33*Premissas!$C$16-AA33-AB33</x:f>
        <x:v>59963.6389222039</x:v>
      </x:c>
      <x:c r="AD33" s="78"/>
      <x:c r="AE33" s="78"/>
    </x:row>
    <x:row r="34">
      <x:c r="A34" s="104" t="n">
        <x:v>24</x:v>
      </x:c>
      <x:c r="B34" s="102" t="n">
        <x:f>$C$5*(1+$D$5)^(A34-1)</x:f>
        <x:v>7.884496320956991</x:v>
      </x:c>
      <x:c r="C34" s="102" t="n">
        <x:f>D33*$E$5</x:f>
        <x:v>5.15435579383835</x:v>
      </x:c>
      <x:c r="D34" s="101" t="n">
        <x:f>D33+B34-C34</x:f>
        <x:v>88.63607042442449</x:v>
      </x:c>
      <x:c r="E34" s="101" t="n">
        <x:f>D34*$I$5</x:f>
        <x:v>18436.302648280292</x:v>
      </x:c>
      <x:c r="F34" s="101" t="n">
        <x:f>D34*Perfis_Uso!$B$13+Premissas!$C$20</x:f>
        <x:v>3328.856813873585</x:v>
      </x:c>
      <x:c r="G34" s="101" t="n">
        <x:f>B34*$F$5</x:f>
        <x:v>7096.046688861292</x:v>
      </x:c>
      <x:c r="H34" s="101" t="n">
        <x:f>IF(A34&lt;=12,$G$5,$H$5)</x:f>
        <x:v>12000</x:v>
      </x:c>
      <x:c r="I34" s="101" t="n">
        <x:f>E34-F34-E34*Premissas!$C$16-G34-H34</x:f>
        <x:v>-5924.412632524014</x:v>
      </x:c>
      <x:c r="J34" s="78"/>
      <x:c r="K34" s="104" t="n">
        <x:v>24</x:v>
      </x:c>
      <x:c r="L34" s="102" t="n">
        <x:f>$C$6*(1+$D$6)^(K34-1)</x:f>
        <x:v>29.576586517981752</x:v>
      </x:c>
      <x:c r="M34" s="102" t="n">
        <x:f>N33*$E$6</x:f>
        <x:v>10.272138872536003</x:v>
      </x:c>
      <x:c r="N34" s="101" t="n">
        <x:f>N33+L34-M34</x:f>
        <x:v>361.7090767299792</x:v>
      </x:c>
      <x:c r="O34" s="101" t="n">
        <x:f>N34*$I$6</x:f>
        <x:v>75235.48795983568</x:v>
      </x:c>
      <x:c r="P34" s="101" t="n">
        <x:f>N34*Perfis_Uso!$B$13+Premissas!$C$20</x:f>
        <x:v>12868.587405166836</x:v>
      </x:c>
      <x:c r="Q34" s="101" t="n">
        <x:f>L34*$F$6</x:f>
        <x:v>13309.463933091789</x:v>
      </x:c>
      <x:c r="R34" s="101" t="n">
        <x:f>IF(K34&lt;=12,$G$6,$H$6)</x:f>
        <x:v>25000</x:v>
      </x:c>
      <x:c r="S34" s="101" t="n">
        <x:f>O34-P34-O34*Premissas!$C$16-Q34-R34</x:f>
        <x:v>16157.710385794315</x:v>
      </x:c>
      <x:c r="T34" s="78"/>
      <x:c r="U34" s="104" t="n">
        <x:v>24</x:v>
      </x:c>
      <x:c r="V34" s="102" t="n">
        <x:f>$C$7*(1+$D$7)^(U34-1)</x:f>
        <x:v>114.59248984719174</x:v>
      </x:c>
      <x:c r="W34" s="102" t="n">
        <x:f>X33*$E$7</x:f>
        <x:v>18.892179186223217</x:v>
      </x:c>
      <x:c r="X34" s="101" t="n">
        <x:f>X33+V34-W34</x:f>
        <x:v>1355.1789230758495</x:v>
      </x:c>
      <x:c r="Y34" s="101" t="n">
        <x:f>X34*$I$7</x:f>
        <x:v>281877.21599977673</x:v>
      </x:c>
      <x:c r="Z34" s="101" t="n">
        <x:f>X34*Perfis_Uso!$B$13+Premissas!$C$20</x:f>
        <x:v>47575.18405100426</x:v>
      </x:c>
      <x:c r="AA34" s="101" t="n">
        <x:f>V34*$F$7</x:f>
        <x:v>74485.11840067463</x:v>
      </x:c>
      <x:c r="AB34" s="101" t="n">
        <x:f>IF(U34&lt;=12,$G$7,$H$7)</x:f>
        <x:v>60000</x:v>
      </x:c>
      <x:c r="AC34" s="101" t="n">
        <x:f>Y34-Z34-Y34*Premissas!$C$16-AA34-AB34</x:f>
        <x:v>70219.80586812127</x:v>
      </x:c>
      <x:c r="AD34" s="78"/>
      <x:c r="AE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  <x:c r="AA35" s="78"/>
      <x:c r="AB35" s="78"/>
      <x:c r="AC35" s="78"/>
      <x:c r="AD35" s="78"/>
      <x:c r="AE35" s="78"/>
    </x:row>
    <x:row r="36">
      <x:c r="A36" s="103" t="str">
        <x:v>Conservador: mês 12 e 24 em destaque acima; estes resultados não são forecast histórico.</x:v>
      </x:c>
      <x:c r="B36" s="78"/>
      <x:c r="C36" s="78"/>
      <x:c r="D36" s="78"/>
      <x:c r="E36" s="78"/>
      <x:c r="F36" s="78"/>
      <x:c r="G36" s="78"/>
      <x:c r="H36" s="78"/>
      <x:c r="I36" s="78"/>
      <x:c r="J36" s="78"/>
      <x:c r="K36" s="103" t="str">
        <x:v>Base: mês 12 e 24 em destaque acima; estes resultados não são forecast histórico.</x:v>
      </x:c>
      <x:c r="L36" s="78"/>
      <x:c r="M36" s="78"/>
      <x:c r="N36" s="78"/>
      <x:c r="O36" s="78"/>
      <x:c r="P36" s="78"/>
      <x:c r="Q36" s="78"/>
      <x:c r="R36" s="78"/>
      <x:c r="S36" s="78"/>
      <x:c r="T36" s="78"/>
      <x:c r="U36" s="103" t="str">
        <x:v>Agressivo: mês 12 e 24 em destaque acima; estes resultados não são forecast histórico.</x:v>
      </x:c>
      <x:c r="V36" s="78"/>
      <x:c r="W36" s="78"/>
      <x:c r="X36" s="78"/>
      <x:c r="Y36" s="78"/>
      <x:c r="Z36" s="78"/>
      <x:c r="AA36" s="78"/>
      <x:c r="AB36" s="78"/>
      <x:c r="AC36" s="78"/>
      <x:c r="AD36" s="78"/>
      <x:c r="AE36" s="78"/>
    </x:row>
  </x:sheetData>
  <x:mergeCells>
    <x:mergeCell ref="A1:AE1"/>
    <x:mergeCell ref="A2:AE2"/>
    <x:mergeCell ref="A36:I36"/>
    <x:mergeCell ref="K36:S36"/>
    <x:mergeCell ref="U36:AC3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88" t="str">
        <x:v>Sensibilidade econômica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</x:row>
    <x:row r="2" ht="26" customHeight="1">
      <x:c r="A2" s="79" t="str">
        <x:v>LTV/CAC, margem e break-even em torno do cenário equilibrado.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</x:row>
    <x:row r="4" ht="24" customHeight="1">
      <x:c r="A4" s="80" t="str">
        <x:v>Preço/ARPA</x:v>
      </x:c>
      <x:c r="B4" s="80" t="str">
        <x:v>GM estimada</x:v>
      </x:c>
      <x:c r="C4" s="80" t="str">
        <x:v>Churn</x:v>
      </x:c>
      <x:c r="D4" s="80" t="str">
        <x:v>CAC</x:v>
      </x:c>
      <x:c r="E4" s="80" t="str">
        <x:v>LTV/CAC</x:v>
      </x:c>
      <x:c r="F4" s="80" t="str">
        <x:v>Payback (meses)</x:v>
      </x:c>
      <x:c r="G4" s="80"/>
      <x:c r="H4" s="80" t="str">
        <x:v>Preço mínimo por margem-alvo</x:v>
      </x:c>
      <x:c r="I4" s="80"/>
      <x:c r="J4" s="80"/>
      <x:c r="K4" s="80"/>
      <x:c r="L4" s="80"/>
      <x:c r="M4" s="80"/>
      <x:c r="N4" s="80"/>
      <x:c r="O4" s="80"/>
      <x:c r="P4" s="80"/>
    </x:row>
    <x:row r="5" ht="28" customHeight="1">
      <x:c r="A5" s="105" t="n">
        <x:v>149</x:v>
      </x:c>
      <x:c r="B5" s="84" t="n">
        <x:f>(A5-Perfis_Uso!$B$13)/A5</x:f>
        <x:v>0.7655387532013423</x:v>
      </x:c>
      <x:c r="C5" s="90" t="n">
        <x:v>0.015</x:v>
      </x:c>
      <x:c r="D5" s="89" t="n">
        <x:v>450</x:v>
      </x:c>
      <x:c r="E5" s="85" t="n">
        <x:f>(A5*B5/C5)/D5</x:f>
        <x:v>16.898559144740744</x:v>
      </x:c>
      <x:c r="F5" s="86" t="n">
        <x:f>D5/(A5-Perfis_Uso!$B$13-A5*Premissas!$C$16)</x:f>
        <x:v>4.572228674775931</x:v>
      </x:c>
      <x:c r="G5" s="78"/>
      <x:c r="H5" s="100" t="str">
        <x:v>Perfil</x:v>
      </x:c>
      <x:c r="I5" s="106" t="n">
        <x:v>0.6</x:v>
      </x:c>
      <x:c r="J5" s="106" t="n">
        <x:v>0.7</x:v>
      </x:c>
      <x:c r="K5" s="106" t="n">
        <x:v>0.8</x:v>
      </x:c>
      <x:c r="L5" s="106" t="n">
        <x:v>0.85</x:v>
      </x:c>
      <x:c r="M5" s="106" t="n">
        <x:v>0.9</x:v>
      </x:c>
      <x:c r="N5" s="78"/>
      <x:c r="O5" s="78"/>
      <x:c r="P5" s="78"/>
    </x:row>
    <x:row r="6">
      <x:c r="A6" s="105" t="n">
        <x:v>149</x:v>
      </x:c>
      <x:c r="B6" s="84" t="n">
        <x:f>(A6-Perfis_Uso!$B$13)/A6</x:f>
        <x:v>0.7655387532013423</x:v>
      </x:c>
      <x:c r="C6" s="90" t="n">
        <x:v>0.03</x:v>
      </x:c>
      <x:c r="D6" s="89" t="n">
        <x:v>450</x:v>
      </x:c>
      <x:c r="E6" s="85" t="n">
        <x:f>(A6*B6/C6)/D6</x:f>
        <x:v>8.449279572370372</x:v>
      </x:c>
      <x:c r="F6" s="86" t="n">
        <x:f>D6/(A6-Perfis_Uso!$B$13-A6*Premissas!$C$16)</x:f>
        <x:v>4.572228674775931</x:v>
      </x:c>
      <x:c r="G6" s="78"/>
      <x:c r="H6" s="81" t="str">
        <x:v>Light</x:v>
      </x:c>
      <x:c r="I6" s="82" t="n">
        <x:f>(Perfis_Uso!$P$5+(Premissas!$C$14*Premissas!$C$12+Premissas!$C$15*Premissas!$C$13))/(1-I$5-Premissas!$C$14*Premissas!$C$11)</x:f>
        <x:v>32.7010700920347</x:v>
      </x:c>
      <x:c r="J6" s="82" t="n">
        <x:f>(Perfis_Uso!$P$5+(Premissas!$C$14*Premissas!$C$12+Premissas!$C$15*Premissas!$C$13))/(1-J$5-Premissas!$C$14*Premissas!$C$11)</x:f>
        <x:v>44.48205544447447</x:v>
      </x:c>
      <x:c r="K6" s="82" t="n">
        <x:f>(Perfis_Uso!$P$5+(Premissas!$C$14*Premissas!$C$12+Premissas!$C$15*Premissas!$C$13))/(1-K$5-Premissas!$C$14*Premissas!$C$11)</x:f>
        <x:v>69.53178397860061</x:v>
      </x:c>
      <x:c r="L6" s="82" t="n">
        <x:f>(Perfis_Uso!$P$5+(Premissas!$C$14*Premissas!$C$12+Premissas!$C$15*Premissas!$C$13))/(1-L$5-Premissas!$C$14*Premissas!$C$11)</x:f>
        <x:v>96.78312004703115</x:v>
      </x:c>
      <x:c r="M6" s="82" t="n">
        <x:f>(Perfis_Uso!$P$5+(Premissas!$C$14*Premissas!$C$12+Premissas!$C$15*Premissas!$C$13))/(1-M$5-Premissas!$C$14*Premissas!$C$11)</x:f>
        <x:v>159.16347457299392</x:v>
      </x:c>
      <x:c r="N6" s="78"/>
      <x:c r="O6" s="78"/>
      <x:c r="P6" s="78"/>
    </x:row>
    <x:row r="7">
      <x:c r="A7" s="105" t="n">
        <x:v>149</x:v>
      </x:c>
      <x:c r="B7" s="84" t="n">
        <x:f>(A7-Perfis_Uso!$B$13)/A7</x:f>
        <x:v>0.7655387532013423</x:v>
      </x:c>
      <x:c r="C7" s="90" t="n">
        <x:v>0.06</x:v>
      </x:c>
      <x:c r="D7" s="89" t="n">
        <x:v>450</x:v>
      </x:c>
      <x:c r="E7" s="85" t="n">
        <x:f>(A7*B7/C7)/D7</x:f>
        <x:v>4.224639786185186</x:v>
      </x:c>
      <x:c r="F7" s="86" t="n">
        <x:f>D7/(A7-Perfis_Uso!$B$13-A7*Premissas!$C$16)</x:f>
        <x:v>4.572228674775931</x:v>
      </x:c>
      <x:c r="G7" s="78"/>
      <x:c r="H7" s="81" t="str">
        <x:v>Normal</x:v>
      </x:c>
      <x:c r="I7" s="82" t="n">
        <x:f>(Perfis_Uso!$P$6+(Premissas!$C$14*Premissas!$C$12+Premissas!$C$15*Premissas!$C$13))/(1-I$5-Premissas!$C$14*Premissas!$C$11)</x:f>
        <x:v>120.1097926504668</x:v>
      </x:c>
      <x:c r="J7" s="82" t="n">
        <x:f>(Perfis_Uso!$P$6+(Premissas!$C$14*Premissas!$C$12+Premissas!$C$15*Premissas!$C$13))/(1-J$5-Premissas!$C$14*Premissas!$C$11)</x:f>
        <x:v>163.38090591731964</x:v>
      </x:c>
      <x:c r="K7" s="82" t="n">
        <x:f>(Perfis_Uso!$P$6+(Premissas!$C$14*Premissas!$C$12+Premissas!$C$15*Premissas!$C$13))/(1-K$5-Premissas!$C$14*Premissas!$C$11)</x:f>
        <x:v>255.3876106433902</x:v>
      </x:c>
      <x:c r="L7" s="82" t="n">
        <x:f>(Perfis_Uso!$P$6+(Premissas!$C$14*Premissas!$C$12+Premissas!$C$15*Premissas!$C$13))/(1-L$5-Premissas!$C$14*Premissas!$C$11)</x:f>
        <x:v>355.48073650793646</x:v>
      </x:c>
      <x:c r="M7" s="82" t="n">
        <x:f>(Perfis_Uso!$P$6+(Premissas!$C$14*Premissas!$C$12+Premissas!$C$15*Premissas!$C$13))/(1-M$5-Premissas!$C$14*Premissas!$C$11)</x:f>
        <x:v>584.6014174669676</x:v>
      </x:c>
      <x:c r="N7" s="78"/>
      <x:c r="O7" s="78"/>
      <x:c r="P7" s="78"/>
    </x:row>
    <x:row r="8">
      <x:c r="A8" s="105" t="n">
        <x:v>149</x:v>
      </x:c>
      <x:c r="B8" s="84" t="n">
        <x:f>(A8-Perfis_Uso!$B$13)/A8</x:f>
        <x:v>0.7655387532013423</x:v>
      </x:c>
      <x:c r="C8" s="90" t="n">
        <x:v>0.08</x:v>
      </x:c>
      <x:c r="D8" s="89" t="n">
        <x:v>450</x:v>
      </x:c>
      <x:c r="E8" s="85" t="n">
        <x:f>(A8*B8/C8)/D8</x:f>
        <x:v>3.168479839638889</x:v>
      </x:c>
      <x:c r="F8" s="86" t="n">
        <x:f>D8/(A8-Perfis_Uso!$B$13-A8*Premissas!$C$16)</x:f>
        <x:v>4.572228674775931</x:v>
      </x:c>
      <x:c r="G8" s="78"/>
      <x:c r="H8" s="81" t="str">
        <x:v>Power</x:v>
      </x:c>
      <x:c r="I8" s="82" t="n">
        <x:f>(Perfis_Uso!$P$7+(Premissas!$C$14*Premissas!$C$12+Premissas!$C$15*Premissas!$C$13))/(1-I$5-Premissas!$C$14*Premissas!$C$11)</x:f>
        <x:v>545.0433664834801</x:v>
      </x:c>
      <x:c r="J8" s="82" t="n">
        <x:f>(Perfis_Uso!$P$7+(Premissas!$C$14*Premissas!$C$12+Premissas!$C$15*Premissas!$C$13))/(1-J$5-Premissas!$C$14*Premissas!$C$11)</x:f>
        <x:v>741.4023204539313</x:v>
      </x:c>
      <x:c r="K8" s="82" t="n">
        <x:f>(Perfis_Uso!$P$7+(Premissas!$C$14*Premissas!$C$12+Premissas!$C$15*Premissas!$C$13))/(1-K$5-Premissas!$C$14*Premissas!$C$11)</x:f>
        <x:v>1158.9173537941717</x:v>
      </x:c>
      <x:c r="L8" s="82" t="n">
        <x:f>(Perfis_Uso!$P$7+(Premissas!$C$14*Premissas!$C$12+Premissas!$C$15*Premissas!$C$13))/(1-L$5-Premissas!$C$14*Premissas!$C$11)</x:f>
        <x:v>1613.127564961787</x:v>
      </x:c>
      <x:c r="M8" s="82" t="n">
        <x:f>(Perfis_Uso!$P$7+(Premissas!$C$14*Premissas!$C$12+Premissas!$C$15*Premissas!$C$13))/(1-M$5-Premissas!$C$14*Premissas!$C$11)</x:f>
        <x:v>2652.848844344184</x:v>
      </x:c>
      <x:c r="N8" s="78"/>
      <x:c r="O8" s="78"/>
      <x:c r="P8" s="78"/>
    </x:row>
    <x:row r="9">
      <x:c r="A9" s="105" t="n">
        <x:v>179</x:v>
      </x:c>
      <x:c r="B9" s="84" t="n">
        <x:f>(A9-Perfis_Uso!$B$13)/A9</x:f>
        <x:v>0.8048339342290503</x:v>
      </x:c>
      <x:c r="C9" s="90" t="n">
        <x:v>0.015</x:v>
      </x:c>
      <x:c r="D9" s="89" t="n">
        <x:v>450</x:v>
      </x:c>
      <x:c r="E9" s="85" t="n">
        <x:f>(A9*B9/C9)/D9</x:f>
        <x:v>21.343003589185184</x:v>
      </x:c>
      <x:c r="F9" s="86" t="n">
        <x:f>D9/(A9-Perfis_Uso!$B$13-A9*Premissas!$C$16)</x:f>
        <x:v>3.592232896246105</x:v>
      </x:c>
      <x:c r="G9" s="78"/>
      <x:c r="H9" s="78"/>
      <x:c r="I9" s="78"/>
      <x:c r="J9" s="78"/>
      <x:c r="K9" s="78"/>
      <x:c r="L9" s="78"/>
      <x:c r="M9" s="78"/>
      <x:c r="N9" s="78"/>
      <x:c r="O9" s="78"/>
      <x:c r="P9" s="78"/>
    </x:row>
    <x:row r="10">
      <x:c r="A10" s="105" t="n">
        <x:v>179</x:v>
      </x:c>
      <x:c r="B10" s="84" t="n">
        <x:f>(A10-Perfis_Uso!$B$13)/A10</x:f>
        <x:v>0.8048339342290503</x:v>
      </x:c>
      <x:c r="C10" s="90" t="n">
        <x:v>0.03</x:v>
      </x:c>
      <x:c r="D10" s="89" t="n">
        <x:v>450</x:v>
      </x:c>
      <x:c r="E10" s="85" t="n">
        <x:f>(A10*B10/C10)/D10</x:f>
        <x:v>10.671501794592592</x:v>
      </x:c>
      <x:c r="F10" s="86" t="n">
        <x:f>D10/(A10-Perfis_Uso!$B$13-A10*Premissas!$C$16)</x:f>
        <x:v>3.592232896246105</x:v>
      </x:c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</x:row>
    <x:row r="11">
      <x:c r="A11" s="105" t="n">
        <x:v>179</x:v>
      </x:c>
      <x:c r="B11" s="84" t="n">
        <x:f>(A11-Perfis_Uso!$B$13)/A11</x:f>
        <x:v>0.8048339342290503</x:v>
      </x:c>
      <x:c r="C11" s="90" t="n">
        <x:v>0.06</x:v>
      </x:c>
      <x:c r="D11" s="89" t="n">
        <x:v>450</x:v>
      </x:c>
      <x:c r="E11" s="85" t="n">
        <x:f>(A11*B11/C11)/D11</x:f>
        <x:v>5.335750897296296</x:v>
      </x:c>
      <x:c r="F11" s="86" t="n">
        <x:f>D11/(A11-Perfis_Uso!$B$13-A11*Premissas!$C$16)</x:f>
        <x:v>3.592232896246105</x:v>
      </x:c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</x:row>
    <x:row r="12">
      <x:c r="A12" s="105" t="n">
        <x:v>179</x:v>
      </x:c>
      <x:c r="B12" s="84" t="n">
        <x:f>(A12-Perfis_Uso!$B$13)/A12</x:f>
        <x:v>0.8048339342290503</x:v>
      </x:c>
      <x:c r="C12" s="90" t="n">
        <x:v>0.08</x:v>
      </x:c>
      <x:c r="D12" s="89" t="n">
        <x:v>450</x:v>
      </x:c>
      <x:c r="E12" s="85" t="n">
        <x:f>(A12*B12/C12)/D12</x:f>
        <x:v>4.001813172972223</x:v>
      </x:c>
      <x:c r="F12" s="86" t="n">
        <x:f>D12/(A12-Perfis_Uso!$B$13-A12*Premissas!$C$16)</x:f>
        <x:v>3.592232896246105</x:v>
      </x:c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</x:row>
    <x:row r="13">
      <x:c r="A13" s="105" t="n">
        <x:v>208</x:v>
      </x:c>
      <x:c r="B13" s="84" t="n">
        <x:f>(A13-Perfis_Uso!$B$13)/A13</x:f>
        <x:v>0.8320445876298077</x:v>
      </x:c>
      <x:c r="C13" s="90" t="n">
        <x:v>0.015</x:v>
      </x:c>
      <x:c r="D13" s="89" t="n">
        <x:v>450</x:v>
      </x:c>
      <x:c r="E13" s="85" t="n">
        <x:f>(A13*B13/C13)/D13</x:f>
        <x:v>25.63929988548148</x:v>
      </x:c>
      <x:c r="F13" s="86" t="n">
        <x:f>D13/(A13-Perfis_Uso!$B$13-A13*Premissas!$C$16)</x:f>
        <x:v>2.9756930665208627</x:v>
      </x:c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</x:row>
    <x:row r="14">
      <x:c r="A14" s="105" t="n">
        <x:v>208</x:v>
      </x:c>
      <x:c r="B14" s="84" t="n">
        <x:f>(A14-Perfis_Uso!$B$13)/A14</x:f>
        <x:v>0.8320445876298077</x:v>
      </x:c>
      <x:c r="C14" s="90" t="n">
        <x:v>0.03</x:v>
      </x:c>
      <x:c r="D14" s="89" t="n">
        <x:v>450</x:v>
      </x:c>
      <x:c r="E14" s="85" t="n">
        <x:f>(A14*B14/C14)/D14</x:f>
        <x:v>12.81964994274074</x:v>
      </x:c>
      <x:c r="F14" s="86" t="n">
        <x:f>D14/(A14-Perfis_Uso!$B$13-A14*Premissas!$C$16)</x:f>
        <x:v>2.9756930665208627</x:v>
      </x:c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</x:row>
    <x:row r="15">
      <x:c r="A15" s="105" t="n">
        <x:v>208</x:v>
      </x:c>
      <x:c r="B15" s="84" t="n">
        <x:f>(A15-Perfis_Uso!$B$13)/A15</x:f>
        <x:v>0.8320445876298077</x:v>
      </x:c>
      <x:c r="C15" s="90" t="n">
        <x:v>0.06</x:v>
      </x:c>
      <x:c r="D15" s="89" t="n">
        <x:v>450</x:v>
      </x:c>
      <x:c r="E15" s="85" t="n">
        <x:f>(A15*B15/C15)/D15</x:f>
        <x:v>6.40982497137037</x:v>
      </x:c>
      <x:c r="F15" s="86" t="n">
        <x:f>D15/(A15-Perfis_Uso!$B$13-A15*Premissas!$C$16)</x:f>
        <x:v>2.9756930665208627</x:v>
      </x:c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</x:row>
    <x:row r="16">
      <x:c r="A16" s="105" t="n">
        <x:v>208</x:v>
      </x:c>
      <x:c r="B16" s="84" t="n">
        <x:f>(A16-Perfis_Uso!$B$13)/A16</x:f>
        <x:v>0.8320445876298077</x:v>
      </x:c>
      <x:c r="C16" s="90" t="n">
        <x:v>0.08</x:v>
      </x:c>
      <x:c r="D16" s="89" t="n">
        <x:v>450</x:v>
      </x:c>
      <x:c r="E16" s="85" t="n">
        <x:f>(A16*B16/C16)/D16</x:f>
        <x:v>4.807368728527778</x:v>
      </x:c>
      <x:c r="F16" s="86" t="n">
        <x:f>D16/(A16-Perfis_Uso!$B$13-A16*Premissas!$C$16)</x:f>
        <x:v>2.9756930665208627</x:v>
      </x:c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</x:row>
    <x:row r="17">
      <x:c r="A17" s="105" t="n">
        <x:v>249</x:v>
      </x:c>
      <x:c r="B17" s="84" t="n">
        <x:f>(A17-Perfis_Uso!$B$13)/A17</x:f>
        <x:v>0.8596998964939759</x:v>
      </x:c>
      <x:c r="C17" s="90" t="n">
        <x:v>0.015</x:v>
      </x:c>
      <x:c r="D17" s="89" t="n">
        <x:v>450</x:v>
      </x:c>
      <x:c r="E17" s="85" t="n">
        <x:f>(A17*B17/C17)/D17</x:f>
        <x:v>31.713373959555557</x:v>
      </x:c>
      <x:c r="F17" s="86" t="n">
        <x:f>D17/(A17-Perfis_Uso!$B$13-A17*Premissas!$C$16)</x:f>
        <x:v>2.3946325208977632</x:v>
      </x:c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</x:row>
    <x:row r="18">
      <x:c r="A18" s="105" t="n">
        <x:v>249</x:v>
      </x:c>
      <x:c r="B18" s="84" t="n">
        <x:f>(A18-Perfis_Uso!$B$13)/A18</x:f>
        <x:v>0.8596998964939759</x:v>
      </x:c>
      <x:c r="C18" s="90" t="n">
        <x:v>0.03</x:v>
      </x:c>
      <x:c r="D18" s="89" t="n">
        <x:v>450</x:v>
      </x:c>
      <x:c r="E18" s="85" t="n">
        <x:f>(A18*B18/C18)/D18</x:f>
        <x:v>15.856686979777779</x:v>
      </x:c>
      <x:c r="F18" s="86" t="n">
        <x:f>D18/(A18-Perfis_Uso!$B$13-A18*Premissas!$C$16)</x:f>
        <x:v>2.3946325208977632</x:v>
      </x:c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</x:row>
    <x:row r="19">
      <x:c r="A19" s="105" t="n">
        <x:v>249</x:v>
      </x:c>
      <x:c r="B19" s="84" t="n">
        <x:f>(A19-Perfis_Uso!$B$13)/A19</x:f>
        <x:v>0.8596998964939759</x:v>
      </x:c>
      <x:c r="C19" s="90" t="n">
        <x:v>0.06</x:v>
      </x:c>
      <x:c r="D19" s="89" t="n">
        <x:v>450</x:v>
      </x:c>
      <x:c r="E19" s="85" t="n">
        <x:f>(A19*B19/C19)/D19</x:f>
        <x:v>7.928343489888889</x:v>
      </x:c>
      <x:c r="F19" s="86" t="n">
        <x:f>D19/(A19-Perfis_Uso!$B$13-A19*Premissas!$C$16)</x:f>
        <x:v>2.3946325208977632</x:v>
      </x:c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</x:row>
    <x:row r="20">
      <x:c r="A20" s="105" t="n">
        <x:v>249</x:v>
      </x:c>
      <x:c r="B20" s="84" t="n">
        <x:f>(A20-Perfis_Uso!$B$13)/A20</x:f>
        <x:v>0.8596998964939759</x:v>
      </x:c>
      <x:c r="C20" s="90" t="n">
        <x:v>0.08</x:v>
      </x:c>
      <x:c r="D20" s="89" t="n">
        <x:v>450</x:v>
      </x:c>
      <x:c r="E20" s="85" t="n">
        <x:f>(A20*B20/C20)/D20</x:f>
        <x:v>5.946257617416667</x:v>
      </x:c>
      <x:c r="F20" s="86" t="n">
        <x:f>D20/(A20-Perfis_Uso!$B$13-A20*Premissas!$C$16)</x:f>
        <x:v>2.3946325208977632</x:v>
      </x:c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</x:row>
    <x:row r="21">
      <x:c r="A21" s="105" t="n">
        <x:v>299</x:v>
      </x:c>
      <x:c r="B21" s="84" t="n">
        <x:f>(A21-Perfis_Uso!$B$13)/A21</x:f>
        <x:v>0.8831614522642142</x:v>
      </x:c>
      <x:c r="C21" s="90" t="n">
        <x:v>0.015</x:v>
      </x:c>
      <x:c r="D21" s="89" t="n">
        <x:v>450</x:v>
      </x:c>
      <x:c r="E21" s="85" t="n">
        <x:f>(A21*B21/C21)/D21</x:f>
        <x:v>39.120781366962966</x:v>
      </x:c>
      <x:c r="F21" s="86" t="n">
        <x:f>D21/(A21-Perfis_Uso!$B$13-A21*Premissas!$C$16)</x:f>
        <x:v>1.934067432958654</x:v>
      </x:c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</x:row>
    <x:row r="22">
      <x:c r="A22" s="105" t="n">
        <x:v>299</x:v>
      </x:c>
      <x:c r="B22" s="84" t="n">
        <x:f>(A22-Perfis_Uso!$B$13)/A22</x:f>
        <x:v>0.8831614522642142</x:v>
      </x:c>
      <x:c r="C22" s="90" t="n">
        <x:v>0.03</x:v>
      </x:c>
      <x:c r="D22" s="89" t="n">
        <x:v>450</x:v>
      </x:c>
      <x:c r="E22" s="85" t="n">
        <x:f>(A22*B22/C22)/D22</x:f>
        <x:v>19.560390683481483</x:v>
      </x:c>
      <x:c r="F22" s="86" t="n">
        <x:f>D22/(A22-Perfis_Uso!$B$13-A22*Premissas!$C$16)</x:f>
        <x:v>1.934067432958654</x:v>
      </x:c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</x:row>
    <x:row r="23">
      <x:c r="A23" s="105" t="n">
        <x:v>299</x:v>
      </x:c>
      <x:c r="B23" s="84" t="n">
        <x:f>(A23-Perfis_Uso!$B$13)/A23</x:f>
        <x:v>0.8831614522642142</x:v>
      </x:c>
      <x:c r="C23" s="90" t="n">
        <x:v>0.06</x:v>
      </x:c>
      <x:c r="D23" s="89" t="n">
        <x:v>450</x:v>
      </x:c>
      <x:c r="E23" s="85" t="n">
        <x:f>(A23*B23/C23)/D23</x:f>
        <x:v>9.780195341740741</x:v>
      </x:c>
      <x:c r="F23" s="86" t="n">
        <x:f>D23/(A23-Perfis_Uso!$B$13-A23*Premissas!$C$16)</x:f>
        <x:v>1.934067432958654</x:v>
      </x:c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</x:row>
    <x:row r="24">
      <x:c r="A24" s="105" t="n">
        <x:v>299</x:v>
      </x:c>
      <x:c r="B24" s="84" t="n">
        <x:f>(A24-Perfis_Uso!$B$13)/A24</x:f>
        <x:v>0.8831614522642142</x:v>
      </x:c>
      <x:c r="C24" s="90" t="n">
        <x:v>0.08</x:v>
      </x:c>
      <x:c r="D24" s="89" t="n">
        <x:v>450</x:v>
      </x:c>
      <x:c r="E24" s="85" t="n">
        <x:f>(A24*B24/C24)/D24</x:f>
        <x:v>7.335146506305556</x:v>
      </x:c>
      <x:c r="F24" s="86" t="n">
        <x:f>D24/(A24-Perfis_Uso!$B$13-A24*Premissas!$C$16)</x:f>
        <x:v>1.934067432958654</x:v>
      </x:c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</x:row>
    <x:row r="25">
      <x:c r="A25" s="105" t="n">
        <x:v>349</x:v>
      </x:c>
      <x:c r="B25" s="84" t="n">
        <x:f>(A25-Perfis_Uso!$B$13)/A25</x:f>
        <x:v>0.8999004992177652</x:v>
      </x:c>
      <x:c r="C25" s="90" t="n">
        <x:v>0.015</x:v>
      </x:c>
      <x:c r="D25" s="89" t="n">
        <x:v>450</x:v>
      </x:c>
      <x:c r="E25" s="85" t="n">
        <x:f>(A25*B25/C25)/D25</x:f>
        <x:v>46.52818877437038</x:v>
      </x:c>
      <x:c r="F25" s="86" t="n">
        <x:f>D25/(A25-Perfis_Uso!$B$13-A25*Premissas!$C$16)</x:f>
        <x:v>1.6220876475372021</x:v>
      </x:c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</x:row>
    <x:row r="26">
      <x:c r="A26" s="105" t="n">
        <x:v>349</x:v>
      </x:c>
      <x:c r="B26" s="84" t="n">
        <x:f>(A26-Perfis_Uso!$B$13)/A26</x:f>
        <x:v>0.8999004992177652</x:v>
      </x:c>
      <x:c r="C26" s="90" t="n">
        <x:v>0.03</x:v>
      </x:c>
      <x:c r="D26" s="89" t="n">
        <x:v>450</x:v>
      </x:c>
      <x:c r="E26" s="85" t="n">
        <x:f>(A26*B26/C26)/D26</x:f>
        <x:v>23.26409438718519</x:v>
      </x:c>
      <x:c r="F26" s="86" t="n">
        <x:f>D26/(A26-Perfis_Uso!$B$13-A26*Premissas!$C$16)</x:f>
        <x:v>1.6220876475372021</x:v>
      </x:c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</x:row>
    <x:row r="27">
      <x:c r="A27" s="105" t="n">
        <x:v>349</x:v>
      </x:c>
      <x:c r="B27" s="84" t="n">
        <x:f>(A27-Perfis_Uso!$B$13)/A27</x:f>
        <x:v>0.8999004992177652</x:v>
      </x:c>
      <x:c r="C27" s="90" t="n">
        <x:v>0.06</x:v>
      </x:c>
      <x:c r="D27" s="89" t="n">
        <x:v>450</x:v>
      </x:c>
      <x:c r="E27" s="85" t="n">
        <x:f>(A27*B27/C27)/D27</x:f>
        <x:v>11.632047193592594</x:v>
      </x:c>
      <x:c r="F27" s="86" t="n">
        <x:f>D27/(A27-Perfis_Uso!$B$13-A27*Premissas!$C$16)</x:f>
        <x:v>1.6220876475372021</x:v>
      </x:c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</x:row>
    <x:row r="28">
      <x:c r="A28" s="105" t="n">
        <x:v>349</x:v>
      </x:c>
      <x:c r="B28" s="84" t="n">
        <x:f>(A28-Perfis_Uso!$B$13)/A28</x:f>
        <x:v>0.8999004992177652</x:v>
      </x:c>
      <x:c r="C28" s="90" t="n">
        <x:v>0.08</x:v>
      </x:c>
      <x:c r="D28" s="89" t="n">
        <x:v>450</x:v>
      </x:c>
      <x:c r="E28" s="85" t="n">
        <x:f>(A28*B28/C28)/D28</x:f>
        <x:v>8.724035395194445</x:v>
      </x:c>
      <x:c r="F28" s="86" t="n">
        <x:f>D28/(A28-Perfis_Uso!$B$13-A28*Premissas!$C$16)</x:f>
        <x:v>1.6220876475372021</x:v>
      </x:c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</x:row>
    <x:row r="29">
      <x:c r="A29" s="105" t="n">
        <x:v>499</x:v>
      </x:c>
      <x:c r="B29" s="84" t="n">
        <x:f>(A29-Perfis_Uso!$B$13)/A29</x:f>
        <x:v>0.9299905295130261</x:v>
      </x:c>
      <x:c r="C29" s="90" t="n">
        <x:v>0.015</x:v>
      </x:c>
      <x:c r="D29" s="89" t="n">
        <x:v>450</x:v>
      </x:c>
      <x:c r="E29" s="85" t="n">
        <x:f>(A29*B29/C29)/D29</x:f>
        <x:v>68.7504109965926</x:v>
      </x:c>
      <x:c r="F29" s="86" t="n">
        <x:f>D29/(A29-Perfis_Uso!$B$13-A29*Premissas!$C$16)</x:f>
        <x:v>1.0931078296701706</x:v>
      </x:c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</x:row>
    <x:row r="30">
      <x:c r="A30" s="105" t="n">
        <x:v>499</x:v>
      </x:c>
      <x:c r="B30" s="84" t="n">
        <x:f>(A30-Perfis_Uso!$B$13)/A30</x:f>
        <x:v>0.9299905295130261</x:v>
      </x:c>
      <x:c r="C30" s="90" t="n">
        <x:v>0.03</x:v>
      </x:c>
      <x:c r="D30" s="89" t="n">
        <x:v>450</x:v>
      </x:c>
      <x:c r="E30" s="85" t="n">
        <x:f>(A30*B30/C30)/D30</x:f>
        <x:v>34.3752054982963</x:v>
      </x:c>
      <x:c r="F30" s="86" t="n">
        <x:f>D30/(A30-Perfis_Uso!$B$13-A30*Premissas!$C$16)</x:f>
        <x:v>1.0931078296701706</x:v>
      </x:c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</x:row>
    <x:row r="31">
      <x:c r="A31" s="105" t="n">
        <x:v>499</x:v>
      </x:c>
      <x:c r="B31" s="84" t="n">
        <x:f>(A31-Perfis_Uso!$B$13)/A31</x:f>
        <x:v>0.9299905295130261</x:v>
      </x:c>
      <x:c r="C31" s="90" t="n">
        <x:v>0.06</x:v>
      </x:c>
      <x:c r="D31" s="89" t="n">
        <x:v>450</x:v>
      </x:c>
      <x:c r="E31" s="85" t="n">
        <x:f>(A31*B31/C31)/D31</x:f>
        <x:v>17.18760274914815</x:v>
      </x:c>
      <x:c r="F31" s="86" t="n">
        <x:f>D31/(A31-Perfis_Uso!$B$13-A31*Premissas!$C$16)</x:f>
        <x:v>1.0931078296701706</x:v>
      </x:c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</x:row>
    <x:row r="32">
      <x:c r="A32" s="105" t="n">
        <x:v>499</x:v>
      </x:c>
      <x:c r="B32" s="84" t="n">
        <x:f>(A32-Perfis_Uso!$B$13)/A32</x:f>
        <x:v>0.9299905295130261</x:v>
      </x:c>
      <x:c r="C32" s="90" t="n">
        <x:v>0.08</x:v>
      </x:c>
      <x:c r="D32" s="89" t="n">
        <x:v>450</x:v>
      </x:c>
      <x:c r="E32" s="85" t="n">
        <x:f>(A32*B32/C32)/D32</x:f>
        <x:v>12.890702061861113</x:v>
      </x:c>
      <x:c r="F32" s="86" t="n">
        <x:f>D32/(A32-Perfis_Uso!$B$13-A32*Premissas!$C$16)</x:f>
        <x:v>1.0931078296701706</x:v>
      </x:c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</x:row>
  </x:sheetData>
  <x:mergeCells>
    <x:mergeCell ref="A1:P1"/>
    <x:mergeCell ref="A2:P2"/>
    <x:mergeCell ref="H4:L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4" hidden="0" customWidth="1"/>
  </x:cols>
  <x:sheetData>
    <x:row r="1" ht="34" customHeight="1">
      <x:c r="A1" s="88" t="str">
        <x:v>Stress tests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6" customHeight="1">
      <x:c r="A2" s="79" t="str">
        <x:v>Perguntas desconfortáveis transformadas em impacto econômico mensurável.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</x:row>
    <x:row r="4" ht="24" customHeight="1">
      <x:c r="A4" s="80" t="str">
        <x:v>Teste</x:v>
      </x:c>
      <x:c r="B4" s="80" t="str">
        <x:v>Preço/ARPA</x:v>
      </x:c>
      <x:c r="C4" s="80" t="str">
        <x:v>COGS/conta</x:v>
      </x:c>
      <x:c r="D4" s="80" t="str">
        <x:v>CAC</x:v>
      </x:c>
      <x:c r="E4" s="80" t="str">
        <x:v>Churn</x:v>
      </x:c>
      <x:c r="F4" s="80" t="str">
        <x:v>Mix barato</x:v>
      </x:c>
      <x:c r="G4" s="80" t="str">
        <x:v>Fixed tech</x:v>
      </x:c>
      <x:c r="H4" s="80" t="str">
        <x:v>GM</x:v>
      </x:c>
      <x:c r="I4" s="80" t="str">
        <x:v>Contribuição</x:v>
      </x:c>
      <x:c r="J4" s="80" t="str">
        <x:v>LTV/CAC</x:v>
      </x:c>
      <x:c r="K4" s="80" t="str">
        <x:v>Payback</x:v>
      </x:c>
      <x:c r="L4" s="80" t="str">
        <x:v>Conclusão</x:v>
      </x:c>
    </x:row>
    <x:row r="5">
      <x:c r="A5" s="81" t="str">
        <x:v>Base</x:v>
      </x:c>
      <x:c r="B5" s="81" t="n">
        <x:v>208</x:v>
      </x:c>
      <x:c r="C5" s="81" t="n">
        <x:v>34.93</x:v>
      </x:c>
      <x:c r="D5" s="81" t="n">
        <x:v>450</x:v>
      </x:c>
      <x:c r="E5" s="92" t="n">
        <x:v>0.03</x:v>
      </x:c>
      <x:c r="F5" s="92" t="n">
        <x:v>0.55</x:v>
      </x:c>
      <x:c r="G5" s="81" t="n">
        <x:v>232.38</x:v>
      </x:c>
      <x:c r="H5" s="84" t="n">
        <x:f>(B5-C5)/B5</x:f>
        <x:v>0.8320673076923076</x:v>
      </x:c>
      <x:c r="I5" s="82" t="n">
        <x:f>B5-C5-B5*Premissas!$C$16</x:f>
        <x:v>151.23</x:v>
      </x:c>
      <x:c r="J5" s="85" t="n">
        <x:f>(B5*H5/E5)/D5</x:f>
        <x:v>12.82</x:v>
      </x:c>
      <x:c r="K5" s="86" t="n">
        <x:f>D5/I5</x:f>
        <x:v>2.9756000793493356</x:v>
      </x:c>
      <x:c r="L5" s="81" t="str">
        <x:v>Viável se churn for controlado</x:v>
      </x:c>
    </x:row>
    <x:row r="6">
      <x:c r="A6" s="81" t="str">
        <x:v>IA 5×</x:v>
      </x:c>
      <x:c r="B6" s="81" t="n">
        <x:v>208</x:v>
      </x:c>
      <x:c r="C6" s="81" t="n">
        <x:v>152.53</x:v>
      </x:c>
      <x:c r="D6" s="81" t="n">
        <x:v>450</x:v>
      </x:c>
      <x:c r="E6" s="92" t="n">
        <x:v>0.03</x:v>
      </x:c>
      <x:c r="F6" s="92" t="n">
        <x:v>0.55</x:v>
      </x:c>
      <x:c r="G6" s="81" t="n">
        <x:v>232.38</x:v>
      </x:c>
      <x:c r="H6" s="84" t="n">
        <x:f>(B6-C6)/B6</x:f>
        <x:v>0.2666826923076923</x:v>
      </x:c>
      <x:c r="I6" s="82" t="n">
        <x:f>B6-C6-B6*Premissas!$C$16</x:f>
        <x:v>33.629999999999995</x:v>
      </x:c>
      <x:c r="J6" s="85" t="n">
        <x:f>(B6*H6/E6)/D6</x:f>
        <x:v>4.108888888888889</x:v>
      </x:c>
      <x:c r="K6" s="86" t="n">
        <x:f>D6/I6</x:f>
        <x:v>13.380909901873329</x:v>
      </x:c>
      <x:c r="L6" s="81" t="str">
        <x:v>Overage/fair use vira obrigatório</x:v>
      </x:c>
    </x:row>
    <x:row r="7">
      <x:c r="A7" s="81" t="str">
        <x:v>CAC 2×</x:v>
      </x:c>
      <x:c r="B7" s="81" t="n">
        <x:v>208</x:v>
      </x:c>
      <x:c r="C7" s="81" t="n">
        <x:v>34.93</x:v>
      </x:c>
      <x:c r="D7" s="81" t="n">
        <x:v>900</x:v>
      </x:c>
      <x:c r="E7" s="92" t="n">
        <x:v>0.03</x:v>
      </x:c>
      <x:c r="F7" s="92" t="n">
        <x:v>0.55</x:v>
      </x:c>
      <x:c r="G7" s="81" t="n">
        <x:v>232.38</x:v>
      </x:c>
      <x:c r="H7" s="84" t="n">
        <x:f>(B7-C7)/B7</x:f>
        <x:v>0.8320673076923076</x:v>
      </x:c>
      <x:c r="I7" s="82" t="n">
        <x:f>B7-C7-B7*Premissas!$C$16</x:f>
        <x:v>151.23</x:v>
      </x:c>
      <x:c r="J7" s="85" t="n">
        <x:f>(B7*H7/E7)/D7</x:f>
        <x:v>6.41</x:v>
      </x:c>
      <x:c r="K7" s="86" t="n">
        <x:f>D7/I7</x:f>
        <x:v>5.951200158698671</x:v>
      </x:c>
      <x:c r="L7" s="81" t="str">
        <x:v>Payback dobra; cortar canal ou elevar ARPA</x:v>
      </x:c>
    </x:row>
    <x:row r="8">
      <x:c r="A8" s="81" t="str">
        <x:v>Churn 8%</x:v>
      </x:c>
      <x:c r="B8" s="81" t="n">
        <x:v>208</x:v>
      </x:c>
      <x:c r="C8" s="81" t="n">
        <x:v>34.93</x:v>
      </x:c>
      <x:c r="D8" s="81" t="n">
        <x:v>450</x:v>
      </x:c>
      <x:c r="E8" s="92" t="n">
        <x:v>0.08</x:v>
      </x:c>
      <x:c r="F8" s="92" t="n">
        <x:v>0.55</x:v>
      </x:c>
      <x:c r="G8" s="81" t="n">
        <x:v>232.38</x:v>
      </x:c>
      <x:c r="H8" s="84" t="n">
        <x:f>(B8-C8)/B8</x:f>
        <x:v>0.8320673076923076</x:v>
      </x:c>
      <x:c r="I8" s="82" t="n">
        <x:f>B8-C8-B8*Premissas!$C$16</x:f>
        <x:v>151.23</x:v>
      </x:c>
      <x:c r="J8" s="85" t="n">
        <x:f>(B8*H8/E8)/D8</x:f>
        <x:v>4.8075</x:v>
      </x:c>
      <x:c r="K8" s="86" t="n">
        <x:f>D8/I8</x:f>
        <x:v>2.9756000793493356</x:v>
      </x:c>
      <x:c r="L8" s="81" t="str">
        <x:v>LTV despenca; produto/ativação antes de ads</x:v>
      </x:c>
    </x:row>
    <x:row r="9">
      <x:c r="A9" s="81" t="str">
        <x:v>80% no barato</x:v>
      </x:c>
      <x:c r="B9" s="81" t="n">
        <x:v>178.5</x:v>
      </x:c>
      <x:c r="C9" s="81" t="n">
        <x:v>34.93</x:v>
      </x:c>
      <x:c r="D9" s="81" t="n">
        <x:v>450</x:v>
      </x:c>
      <x:c r="E9" s="92" t="n">
        <x:v>0.03</x:v>
      </x:c>
      <x:c r="F9" s="92" t="n">
        <x:v>0.8</x:v>
      </x:c>
      <x:c r="G9" s="81" t="n">
        <x:v>232.38</x:v>
      </x:c>
      <x:c r="H9" s="84" t="n">
        <x:f>(B9-C9)/B9</x:f>
        <x:v>0.8043137254901961</x:v>
      </x:c>
      <x:c r="I9" s="82" t="n">
        <x:f>B9-C9-B9*Premissas!$C$16</x:f>
        <x:v>124.82749999999999</x:v>
      </x:c>
      <x:c r="J9" s="85" t="n">
        <x:f>(B9*H9/E9)/D9</x:f>
        <x:v>10.634814814814815</x:v>
      </x:c>
      <x:c r="K9" s="86" t="n">
        <x:f>D9/I9</x:f>
        <x:v>3.604974865314134</x:v>
      </x:c>
      <x:c r="L9" s="81" t="str">
        <x:v>MRR e contribuição caem; proteger expansão</x:v>
      </x:c>
    </x:row>
    <x:row r="10">
      <x:c r="A10" s="81" t="str">
        <x:v>Fornecedor +50%</x:v>
      </x:c>
      <x:c r="B10" s="81" t="n">
        <x:v>208</x:v>
      </x:c>
      <x:c r="C10" s="81" t="n">
        <x:v>34.93</x:v>
      </x:c>
      <x:c r="D10" s="81" t="n">
        <x:v>450</x:v>
      </x:c>
      <x:c r="E10" s="92" t="n">
        <x:v>0.03</x:v>
      </x:c>
      <x:c r="F10" s="92" t="n">
        <x:v>0.55</x:v>
      </x:c>
      <x:c r="G10" s="81" t="n">
        <x:v>348.57</x:v>
      </x:c>
      <x:c r="H10" s="84" t="n">
        <x:f>(B10-C10)/B10</x:f>
        <x:v>0.8320673076923076</x:v>
      </x:c>
      <x:c r="I10" s="82" t="n">
        <x:f>B10-C10-B10*Premissas!$C$16</x:f>
        <x:v>151.23</x:v>
      </x:c>
      <x:c r="J10" s="85" t="n">
        <x:f>(B10*H10/E10)/D10</x:f>
        <x:v>12.82</x:v>
      </x:c>
      <x:c r="K10" s="86" t="n">
        <x:f>D10/I10</x:f>
        <x:v>2.9756000793493356</x:v>
      </x:c>
      <x:c r="L10" s="81" t="str">
        <x:v>Pequeno em escala; perigoso em base pequena</x:v>
      </x:c>
    </x:row>
    <x:row r="11">
      <x:c r="A11" s="81" t="str">
        <x:v>Suporte 2×</x:v>
      </x:c>
      <x:c r="B11" s="81" t="n">
        <x:v>208</x:v>
      </x:c>
      <x:c r="C11" s="81" t="n">
        <x:v>46.69</x:v>
      </x:c>
      <x:c r="D11" s="81" t="n">
        <x:v>450</x:v>
      </x:c>
      <x:c r="E11" s="92" t="n">
        <x:v>0.03</x:v>
      </x:c>
      <x:c r="F11" s="92" t="n">
        <x:v>0.55</x:v>
      </x:c>
      <x:c r="G11" s="81" t="n">
        <x:v>232.38</x:v>
      </x:c>
      <x:c r="H11" s="84" t="n">
        <x:f>(B11-C11)/B11</x:f>
        <x:v>0.7755288461538462</x:v>
      </x:c>
      <x:c r="I11" s="82" t="n">
        <x:f>B11-C11-B11*Premissas!$C$16</x:f>
        <x:v>139.47</x:v>
      </x:c>
      <x:c r="J11" s="85" t="n">
        <x:f>(B11*H11/E11)/D11</x:f>
        <x:v>11.948888888888888</x:v>
      </x:c>
      <x:c r="K11" s="86" t="n">
        <x:f>D11/I11</x:f>
        <x:v>3.226500322650032</x:v>
      </x:c>
      <x:c r="L11" s="81" t="str">
        <x:v>Onboarding e suporte precisam de limites</x:v>
      </x:c>
    </x:row>
    <x:row r="12">
      <x:c r="A12" s="81" t="str">
        <x:v>Login compartilhado</x:v>
      </x:c>
      <x:c r="B12" s="81" t="n">
        <x:v>178</x:v>
      </x:c>
      <x:c r="C12" s="81" t="n">
        <x:v>48</x:v>
      </x:c>
      <x:c r="D12" s="81" t="n">
        <x:v>450</x:v>
      </x:c>
      <x:c r="E12" s="92" t="n">
        <x:v>0.03</x:v>
      </x:c>
      <x:c r="F12" s="92" t="n">
        <x:v>0.75</x:v>
      </x:c>
      <x:c r="G12" s="81" t="n">
        <x:v>232.38</x:v>
      </x:c>
      <x:c r="H12" s="84" t="n">
        <x:f>(B12-C12)/B12</x:f>
        <x:v>0.7303370786516854</x:v>
      </x:c>
      <x:c r="I12" s="82" t="n">
        <x:f>B12-C12-B12*Premissas!$C$16</x:f>
        <x:v>111.31</x:v>
      </x:c>
      <x:c r="J12" s="85" t="n">
        <x:f>(B12*H12/E12)/D12</x:f>
        <x:v>9.629629629629632</x:v>
      </x:c>
      <x:c r="K12" s="86" t="n">
        <x:f>D12/I12</x:f>
        <x:v>4.042763453418381</x:v>
      </x:c>
      <x:c r="L12" s="81" t="str">
        <x:v>Controle de sessão e incentivo ao usuário extra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6" hidden="0" customWidth="1"/>
    <x:col min="14" max="14" width="26" hidden="0" customWidth="1"/>
  </x:cols>
  <x:sheetData>
    <x:row r="1" ht="34" customHeight="1">
      <x:c r="A1" s="88" t="str">
        <x:v>Arquitetura de pricing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</x:row>
    <x:row r="2" ht="26" customHeight="1">
      <x:c r="A2" s="79" t="str">
        <x:v>Três cenários submetidos à mesma lógica de valor, margem e expansão.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24" customHeight="1">
      <x:c r="A4" s="80" t="str">
        <x:v>Cenário</x:v>
      </x:c>
      <x:c r="B4" s="80" t="str">
        <x:v>Plano</x:v>
      </x:c>
      <x:c r="C4" s="80" t="str">
        <x:v>Mensal</x:v>
      </x:c>
      <x:c r="D4" s="80" t="str">
        <x:v>Anual</x:v>
      </x:c>
      <x:c r="E4" s="80" t="str">
        <x:v>Desconto</x:v>
      </x:c>
      <x:c r="F4" s="80" t="str">
        <x:v>Usuários</x:v>
      </x:c>
      <x:c r="G4" s="80" t="str">
        <x:v>Imóveis</x:v>
      </x:c>
      <x:c r="H4" s="80" t="str">
        <x:v>IA créditos</x:v>
      </x:c>
      <x:c r="I4" s="80" t="str">
        <x:v>Storage</x:v>
      </x:c>
      <x:c r="J4" s="80" t="str">
        <x:v>Locação</x:v>
      </x:c>
      <x:c r="K4" s="80" t="str">
        <x:v>Equipe</x:v>
      </x:c>
      <x:c r="L4" s="80" t="str">
        <x:v>Margem est.</x:v>
      </x:c>
      <x:c r="M4" s="80" t="str">
        <x:v>Papel estratégico</x:v>
      </x:c>
      <x:c r="N4" s="80" t="str">
        <x:v>Decisão</x:v>
      </x:c>
    </x:row>
    <x:row r="5">
      <x:c r="A5" s="81" t="str">
        <x:v>Atual</x:v>
      </x:c>
      <x:c r="B5" s="81" t="str">
        <x:v>Essencial</x:v>
      </x:c>
      <x:c r="C5" s="107" t="n">
        <x:v>99</x:v>
      </x:c>
      <x:c r="D5" s="107" t="n">
        <x:v>990</x:v>
      </x:c>
      <x:c r="E5" s="92" t="n">
        <x:v>0.1667</x:v>
      </x:c>
      <x:c r="F5" s="81" t="n">
        <x:v>1</x:v>
      </x:c>
      <x:c r="G5" s="81" t="n">
        <x:v>100</x:v>
      </x:c>
      <x:c r="H5" s="81" t="n">
        <x:v>40</x:v>
      </x:c>
      <x:c r="I5" s="81" t="n">
        <x:v>5</x:v>
      </x:c>
      <x:c r="J5" s="81" t="str">
        <x:v>Não</x:v>
      </x:c>
      <x:c r="K5" s="81" t="str">
        <x:v>Não</x:v>
      </x:c>
      <x:c r="L5" s="84" t="n">
        <x:f>(C5-IF(A5="Atual",IF(B5="Essencial",Perfis_Uso!$P$5,IF(B5="Profissional",Perfis_Uso!$P$6,Perfis_Uso!$P$7)),IF(B5="Starter",Perfis_Uso!$P$5,IF(B5="Pro",Perfis_Uso!$P$6,Perfis_Uso!$P$5*35%+Perfis_Uso!$P$6*50%+Perfis_Uso!$P$7*15%)))-(C5*Premissas!$C$14*Premissas!$C$11+Premissas!$C$14*Premissas!$C$12+Premissas!$C$15*Premissas!$C$13))/C5</x:f>
        <x:v>0.852856752121212</x:v>
      </x:c>
      <x:c r="M5" s="81" t="str">
        <x:v>Penetração agressiva</x:v>
      </x:c>
      <x:c r="N5" s="81" t="str">
        <x:v>Rejeitar como arquitetura final</x:v>
      </x:c>
    </x:row>
    <x:row r="6">
      <x:c r="A6" s="81" t="str">
        <x:v>Atual</x:v>
      </x:c>
      <x:c r="B6" s="81" t="str">
        <x:v>Profissional</x:v>
      </x:c>
      <x:c r="C6" s="107" t="n">
        <x:v>149</x:v>
      </x:c>
      <x:c r="D6" s="107" t="n">
        <x:v>1490</x:v>
      </x:c>
      <x:c r="E6" s="92" t="n">
        <x:v>0.1667</x:v>
      </x:c>
      <x:c r="F6" s="81" t="n">
        <x:v>2</x:v>
      </x:c>
      <x:c r="G6" s="81" t="n">
        <x:v>500</x:v>
      </x:c>
      <x:c r="H6" s="81" t="n">
        <x:v>360</x:v>
      </x:c>
      <x:c r="I6" s="81" t="n">
        <x:v>25</x:v>
      </x:c>
      <x:c r="J6" s="81" t="str">
        <x:v>Sim</x:v>
      </x:c>
      <x:c r="K6" s="81" t="str">
        <x:v>Não</x:v>
      </x:c>
      <x:c r="L6" s="84" t="n">
        <x:f>(C6-IF(A6="Atual",IF(B6="Essencial",Perfis_Uso!$P$5,IF(B6="Profissional",Perfis_Uso!$P$6,Perfis_Uso!$P$7)),IF(B6="Starter",Perfis_Uso!$P$5,IF(B6="Pro",Perfis_Uso!$P$6,Perfis_Uso!$P$5*35%+Perfis_Uso!$P$6*50%+Perfis_Uso!$P$7*15%)))-(C6*Premissas!$C$14*Premissas!$C$11+Premissas!$C$14*Premissas!$C$12+Premissas!$C$15*Premissas!$C$13))/C6</x:f>
        <x:v>0.6732095304697987</x:v>
      </x:c>
      <x:c r="M6" s="81" t="str">
        <x:v>Plano-herói comprimido</x:v>
      </x:c>
      <x:c r="N6" s="81" t="str">
        <x:v>Reprecificar</x:v>
      </x:c>
    </x:row>
    <x:row r="7">
      <x:c r="A7" s="81" t="str">
        <x:v>Atual</x:v>
      </x:c>
      <x:c r="B7" s="81" t="str">
        <x:v>Imobiliária</x:v>
      </x:c>
      <x:c r="C7" s="107" t="n">
        <x:v>299</x:v>
      </x:c>
      <x:c r="D7" s="107" t="n">
        <x:v>2990</x:v>
      </x:c>
      <x:c r="E7" s="92" t="n">
        <x:v>0.1667</x:v>
      </x:c>
      <x:c r="F7" s="81" t="n">
        <x:v>10</x:v>
      </x:c>
      <x:c r="G7" s="81" t="str">
        <x:v>Ilimitado</x:v>
      </x:c>
      <x:c r="H7" s="81" t="n">
        <x:v>1750</x:v>
      </x:c>
      <x:c r="I7" s="81" t="n">
        <x:v>100</x:v>
      </x:c>
      <x:c r="J7" s="81" t="str">
        <x:v>Sim</x:v>
      </x:c>
      <x:c r="K7" s="81" t="str">
        <x:v>Sim</x:v>
      </x:c>
      <x:c r="L7" s="84" t="n">
        <x:f>(C7-IF(A7="Atual",IF(B7="Essencial",Perfis_Uso!$P$5,IF(B7="Profissional",Perfis_Uso!$P$6,Perfis_Uso!$P$7)),IF(B7="Starter",Perfis_Uso!$P$5,IF(B7="Pro",Perfis_Uso!$P$6,Perfis_Uso!$P$5*35%+Perfis_Uso!$P$6*50%+Perfis_Uso!$P$7*15%)))-(C7*Premissas!$C$14*Premissas!$C$11+Premissas!$C$14*Premissas!$C$12+Premissas!$C$15*Premissas!$C$13))/C7</x:f>
        <x:v>0.2892982471571907</x:v>
      </x:c>
      <x:c r="M7" s="81" t="str">
        <x:v>Risco power user</x:v>
      </x:c>
      <x:c r="N7" s="81" t="str">
        <x:v>Reprecificar + fair use</x:v>
      </x:c>
    </x:row>
    <x:row r="8">
      <x:c r="A8" s="81" t="str">
        <x:v>Penetração</x:v>
      </x:c>
      <x:c r="B8" s="81" t="str">
        <x:v>Starter</x:v>
      </x:c>
      <x:c r="C8" s="107" t="n">
        <x:v>99</x:v>
      </x:c>
      <x:c r="D8" s="107" t="n">
        <x:v>990</x:v>
      </x:c>
      <x:c r="E8" s="92" t="n">
        <x:v>0.1667</x:v>
      </x:c>
      <x:c r="F8" s="81" t="n">
        <x:v>1</x:v>
      </x:c>
      <x:c r="G8" s="81" t="n">
        <x:v>150</x:v>
      </x:c>
      <x:c r="H8" s="81" t="n">
        <x:v>100</x:v>
      </x:c>
      <x:c r="I8" s="81" t="n">
        <x:v>5</x:v>
      </x:c>
      <x:c r="J8" s="81" t="str">
        <x:v>Opcional</x:v>
      </x:c>
      <x:c r="K8" s="81" t="str">
        <x:v>Não</x:v>
      </x:c>
      <x:c r="L8" s="84" t="n">
        <x:f>(C8-IF(A8="Atual",IF(B8="Essencial",Perfis_Uso!$P$5,IF(B8="Profissional",Perfis_Uso!$P$6,Perfis_Uso!$P$7)),IF(B8="Starter",Perfis_Uso!$P$5,IF(B8="Pro",Perfis_Uso!$P$6,Perfis_Uso!$P$5*35%+Perfis_Uso!$P$6*50%+Perfis_Uso!$P$7*15%)))-(C8*Premissas!$C$14*Premissas!$C$11+Premissas!$C$14*Premissas!$C$12+Premissas!$C$15*Premissas!$C$13))/C8</x:f>
        <x:v>0.852856752121212</x:v>
      </x:c>
      <x:c r="M8" s="81" t="str">
        <x:v>Entrada</x:v>
      </x:c>
      <x:c r="N8" s="81" t="str">
        <x:v>Teste curto</x:v>
      </x:c>
    </x:row>
    <x:row r="9">
      <x:c r="A9" s="81" t="str">
        <x:v>Penetração</x:v>
      </x:c>
      <x:c r="B9" s="81" t="str">
        <x:v>Pro</x:v>
      </x:c>
      <x:c r="C9" s="107" t="n">
        <x:v>179</x:v>
      </x:c>
      <x:c r="D9" s="107" t="n">
        <x:v>1790</x:v>
      </x:c>
      <x:c r="E9" s="92" t="n">
        <x:v>0.1667</x:v>
      </x:c>
      <x:c r="F9" s="81" t="n">
        <x:v>3</x:v>
      </x:c>
      <x:c r="G9" s="81" t="n">
        <x:v>750</x:v>
      </x:c>
      <x:c r="H9" s="81" t="n">
        <x:v>500</x:v>
      </x:c>
      <x:c r="I9" s="81" t="n">
        <x:v>25</x:v>
      </x:c>
      <x:c r="J9" s="81" t="str">
        <x:v>Sim</x:v>
      </x:c>
      <x:c r="K9" s="81" t="str">
        <x:v>Não</x:v>
      </x:c>
      <x:c r="L9" s="84" t="n">
        <x:f>(C9-IF(A9="Atual",IF(B9="Essencial",Perfis_Uso!$P$5,IF(B9="Profissional",Perfis_Uso!$P$6,Perfis_Uso!$P$7)),IF(B9="Starter",Perfis_Uso!$P$5,IF(B9="Pro",Perfis_Uso!$P$6,Perfis_Uso!$P$5*35%+Perfis_Uso!$P$6*50%+Perfis_Uso!$P$7*15%)))-(C9*Premissas!$C$14*Premissas!$C$11+Premissas!$C$14*Premissas!$C$12+Premissas!$C$15*Premissas!$C$13))/C9</x:f>
        <x:v>0.7242205030167598</x:v>
      </x:c>
      <x:c r="M9" s="81" t="str">
        <x:v>Wedge locação</x:v>
      </x:c>
      <x:c r="N9" s="81" t="str">
        <x:v>Teste curto</x:v>
      </x:c>
    </x:row>
    <x:row r="10">
      <x:c r="A10" s="81" t="str">
        <x:v>Penetração</x:v>
      </x:c>
      <x:c r="B10" s="81" t="str">
        <x:v>Business</x:v>
      </x:c>
      <x:c r="C10" s="107" t="n">
        <x:v>349</x:v>
      </x:c>
      <x:c r="D10" s="107" t="n">
        <x:v>3490</x:v>
      </x:c>
      <x:c r="E10" s="92" t="n">
        <x:v>0.1667</x:v>
      </x:c>
      <x:c r="F10" s="81" t="n">
        <x:v>8</x:v>
      </x:c>
      <x:c r="G10" s="81" t="n">
        <x:v>2500</x:v>
      </x:c>
      <x:c r="H10" s="81" t="n">
        <x:v>1600</x:v>
      </x:c>
      <x:c r="I10" s="81" t="n">
        <x:v>75</x:v>
      </x:c>
      <x:c r="J10" s="81" t="str">
        <x:v>Sim</x:v>
      </x:c>
      <x:c r="K10" s="81" t="str">
        <x:v>Sim</x:v>
      </x:c>
      <x:c r="L10" s="84" t="n">
        <x:f>(C10-IF(A10="Atual",IF(B10="Essencial",Perfis_Uso!$P$5,IF(B10="Profissional",Perfis_Uso!$P$6,Perfis_Uso!$P$7)),IF(B10="Starter",Perfis_Uso!$P$5,IF(B10="Pro",Perfis_Uso!$P$6,Perfis_Uso!$P$5*35%+Perfis_Uso!$P$6*50%+Perfis_Uso!$P$7*15%)))-(C10*Premissas!$C$14*Premissas!$C$11+Premissas!$C$14*Premissas!$C$12+Premissas!$C$15*Premissas!$C$13))/C10</x:f>
        <x:v>0.8117700511919771</x:v>
      </x:c>
      <x:c r="M10" s="81" t="str">
        <x:v>Equipe</x:v>
      </x:c>
      <x:c r="N10" s="81" t="str">
        <x:v>Só com overage</x:v>
      </x:c>
    </x:row>
    <x:row r="11">
      <x:c r="A11" s="81" t="str">
        <x:v>Equilibrado</x:v>
      </x:c>
      <x:c r="B11" s="81" t="str">
        <x:v>Starter</x:v>
      </x:c>
      <x:c r="C11" s="107" t="n">
        <x:v>129</x:v>
      </x:c>
      <x:c r="D11" s="107" t="n">
        <x:v>1290</x:v>
      </x:c>
      <x:c r="E11" s="92" t="n">
        <x:v>0.1667</x:v>
      </x:c>
      <x:c r="F11" s="81" t="n">
        <x:v>1</x:v>
      </x:c>
      <x:c r="G11" s="81" t="n">
        <x:v>150</x:v>
      </x:c>
      <x:c r="H11" s="81" t="n">
        <x:v>100</x:v>
      </x:c>
      <x:c r="I11" s="81" t="n">
        <x:v>5</x:v>
      </x:c>
      <x:c r="J11" s="81" t="str">
        <x:v>Opcional</x:v>
      </x:c>
      <x:c r="K11" s="81" t="str">
        <x:v>Não</x:v>
      </x:c>
      <x:c r="L11" s="84" t="n">
        <x:f>(C11-IF(A11="Atual",IF(B11="Essencial",Perfis_Uso!$P$5,IF(B11="Profissional",Perfis_Uso!$P$6,Perfis_Uso!$P$7)),IF(B11="Starter",Perfis_Uso!$P$5,IF(B11="Pro",Perfis_Uso!$P$6,Perfis_Uso!$P$5*35%+Perfis_Uso!$P$6*50%+Perfis_Uso!$P$7*15%)))-(C11*Premissas!$C$14*Premissas!$C$11+Premissas!$C$14*Premissas!$C$12+Premissas!$C$15*Premissas!$C$13))/C11</x:f>
        <x:v>0.8818609958139535</x:v>
      </x:c>
      <x:c r="M11" s="81" t="str">
        <x:v>Substitui planilha</x:v>
      </x:c>
      <x:c r="N11" s="81" t="str">
        <x:v>RECOMENDADO</x:v>
      </x:c>
    </x:row>
    <x:row r="12">
      <x:c r="A12" s="81" t="str">
        <x:v>Equilibrado</x:v>
      </x:c>
      <x:c r="B12" s="81" t="str">
        <x:v>Pro</x:v>
      </x:c>
      <x:c r="C12" s="107" t="n">
        <x:v>249</x:v>
      </x:c>
      <x:c r="D12" s="107" t="n">
        <x:v>2490</x:v>
      </x:c>
      <x:c r="E12" s="92" t="n">
        <x:v>0.1667</x:v>
      </x:c>
      <x:c r="F12" s="81" t="n">
        <x:v>3</x:v>
      </x:c>
      <x:c r="G12" s="81" t="n">
        <x:v>750</x:v>
      </x:c>
      <x:c r="H12" s="81" t="n">
        <x:v>600</x:v>
      </x:c>
      <x:c r="I12" s="81" t="n">
        <x:v>25</x:v>
      </x:c>
      <x:c r="J12" s="81" t="str">
        <x:v>Sim</x:v>
      </x:c>
      <x:c r="K12" s="81" t="str">
        <x:v>Não</x:v>
      </x:c>
      <x:c r="L12" s="84" t="n">
        <x:f>(C12-IF(A12="Atual",IF(B12="Essencial",Perfis_Uso!$P$5,IF(B12="Profissional",Perfis_Uso!$P$6,Perfis_Uso!$P$7)),IF(B12="Starter",Perfis_Uso!$P$5,IF(B12="Pro",Perfis_Uso!$P$6,Perfis_Uso!$P$5*35%+Perfis_Uso!$P$6*50%+Perfis_Uso!$P$7*15%)))-(C12*Premissas!$C$14*Premissas!$C$11+Premissas!$C$14*Premissas!$C$12+Premissas!$C$15*Premissas!$C$13))/C12</x:f>
        <x:v>0.7954446587951808</x:v>
      </x:c>
      <x:c r="M12" s="81" t="str">
        <x:v>Locação + IA</x:v>
      </x:c>
      <x:c r="N12" s="81" t="str">
        <x:v>RECOMENDADO</x:v>
      </x:c>
    </x:row>
    <x:row r="13">
      <x:c r="A13" s="81" t="str">
        <x:v>Equilibrado</x:v>
      </x:c>
      <x:c r="B13" s="81" t="str">
        <x:v>Business</x:v>
      </x:c>
      <x:c r="C13" s="107" t="n">
        <x:v>499</x:v>
      </x:c>
      <x:c r="D13" s="107" t="n">
        <x:v>4990</x:v>
      </x:c>
      <x:c r="E13" s="92" t="n">
        <x:v>0.1667</x:v>
      </x:c>
      <x:c r="F13" s="81" t="n">
        <x:v>8</x:v>
      </x:c>
      <x:c r="G13" s="81" t="n">
        <x:v>2500</x:v>
      </x:c>
      <x:c r="H13" s="81" t="n">
        <x:v>1800</x:v>
      </x:c>
      <x:c r="I13" s="81" t="n">
        <x:v>75</x:v>
      </x:c>
      <x:c r="J13" s="81" t="str">
        <x:v>Sim</x:v>
      </x:c>
      <x:c r="K13" s="81" t="str">
        <x:v>Sim</x:v>
      </x:c>
      <x:c r="L13" s="84" t="n">
        <x:f>(C13-IF(A13="Atual",IF(B13="Essencial",Perfis_Uso!$P$5,IF(B13="Profissional",Perfis_Uso!$P$6,Perfis_Uso!$P$7)),IF(B13="Starter",Perfis_Uso!$P$5,IF(B13="Pro",Perfis_Uso!$P$6,Perfis_Uso!$P$5*35%+Perfis_Uso!$P$6*50%+Perfis_Uso!$P$7*15%)))-(C13*Premissas!$C$14*Premissas!$C$11+Premissas!$C$14*Premissas!$C$12+Premissas!$C$15*Premissas!$C$13))/C13</x:f>
        <x:v>0.8616112181683367</x:v>
      </x:c>
      <x:c r="M13" s="81" t="str">
        <x:v>Gestão de equipe</x:v>
      </x:c>
      <x:c r="N13" s="81" t="str">
        <x:v>RECOMENDADO</x:v>
      </x:c>
    </x:row>
    <x:row r="14">
      <x:c r="A14" s="81" t="str">
        <x:v>Premium</x:v>
      </x:c>
      <x:c r="B14" s="81" t="str">
        <x:v>Starter</x:v>
      </x:c>
      <x:c r="C14" s="107" t="n">
        <x:v>179</x:v>
      </x:c>
      <x:c r="D14" s="107" t="n">
        <x:v>1790</x:v>
      </x:c>
      <x:c r="E14" s="92" t="n">
        <x:v>0.1667</x:v>
      </x:c>
      <x:c r="F14" s="81" t="n">
        <x:v>1</x:v>
      </x:c>
      <x:c r="G14" s="81" t="n">
        <x:v>250</x:v>
      </x:c>
      <x:c r="H14" s="81" t="n">
        <x:v>150</x:v>
      </x:c>
      <x:c r="I14" s="81" t="n">
        <x:v>10</x:v>
      </x:c>
      <x:c r="J14" s="81" t="str">
        <x:v>Opcional</x:v>
      </x:c>
      <x:c r="K14" s="81" t="str">
        <x:v>Não</x:v>
      </x:c>
      <x:c r="L14" s="84" t="n">
        <x:f>(C14-IF(A14="Atual",IF(B14="Essencial",Perfis_Uso!$P$5,IF(B14="Profissional",Perfis_Uso!$P$6,Perfis_Uso!$P$7)),IF(B14="Starter",Perfis_Uso!$P$5,IF(B14="Pro",Perfis_Uso!$P$6,Perfis_Uso!$P$5*35%+Perfis_Uso!$P$6*50%+Perfis_Uso!$P$7*15%)))-(C14*Premissas!$C$14*Premissas!$C$11+Premissas!$C$14*Premissas!$C$12+Premissas!$C$15*Premissas!$C$13))/C14</x:f>
        <x:v>0.9085967511731844</x:v>
      </x:c>
      <x:c r="M14" s="81" t="str">
        <x:v>Onboarding melhor</x:v>
      </x:c>
      <x:c r="N14" s="81" t="str">
        <x:v>Validar depois</x:v>
      </x:c>
    </x:row>
    <x:row r="15">
      <x:c r="A15" s="81" t="str">
        <x:v>Premium</x:v>
      </x:c>
      <x:c r="B15" s="81" t="str">
        <x:v>Pro</x:v>
      </x:c>
      <x:c r="C15" s="107" t="n">
        <x:v>349</x:v>
      </x:c>
      <x:c r="D15" s="107" t="n">
        <x:v>3490</x:v>
      </x:c>
      <x:c r="E15" s="92" t="n">
        <x:v>0.1667</x:v>
      </x:c>
      <x:c r="F15" s="81" t="n">
        <x:v>5</x:v>
      </x:c>
      <x:c r="G15" s="81" t="n">
        <x:v>1500</x:v>
      </x:c>
      <x:c r="H15" s="81" t="n">
        <x:v>900</x:v>
      </x:c>
      <x:c r="I15" s="81" t="n">
        <x:v>50</x:v>
      </x:c>
      <x:c r="J15" s="81" t="str">
        <x:v>Sim</x:v>
      </x:c>
      <x:c r="K15" s="81" t="str">
        <x:v>Não</x:v>
      </x:c>
      <x:c r="L15" s="84" t="n">
        <x:f>(C15-IF(A15="Atual",IF(B15="Essencial",Perfis_Uso!$P$5,IF(B15="Profissional",Perfis_Uso!$P$6,Perfis_Uso!$P$7)),IF(B15="Starter",Perfis_Uso!$P$5,IF(B15="Pro",Perfis_Uso!$P$6,Perfis_Uso!$P$5*35%+Perfis_Uso!$P$6*50%+Perfis_Uso!$P$7*15%)))-(C15*Premissas!$C$14*Premissas!$C$11+Premissas!$C$14*Premissas!$C$12+Premissas!$C$15*Premissas!$C$13))/C15</x:f>
        <x:v>0.8476310029799428</x:v>
      </x:c>
      <x:c r="M15" s="81" t="str">
        <x:v>Operação madura</x:v>
      </x:c>
      <x:c r="N15" s="81" t="str">
        <x:v>Validar depois</x:v>
      </x:c>
    </x:row>
    <x:row r="16">
      <x:c r="A16" s="81" t="str">
        <x:v>Premium</x:v>
      </x:c>
      <x:c r="B16" s="81" t="str">
        <x:v>Business</x:v>
      </x:c>
      <x:c r="C16" s="107" t="n">
        <x:v>799</x:v>
      </x:c>
      <x:c r="D16" s="107" t="n">
        <x:v>7990</x:v>
      </x:c>
      <x:c r="E16" s="92" t="n">
        <x:v>0.1667</x:v>
      </x:c>
      <x:c r="F16" s="81" t="n">
        <x:v>15</x:v>
      </x:c>
      <x:c r="G16" s="81" t="n">
        <x:v>5000</x:v>
      </x:c>
      <x:c r="H16" s="81" t="n">
        <x:v>3000</x:v>
      </x:c>
      <x:c r="I16" s="81" t="n">
        <x:v>150</x:v>
      </x:c>
      <x:c r="J16" s="81" t="str">
        <x:v>Sim</x:v>
      </x:c>
      <x:c r="K16" s="81" t="str">
        <x:v>Sim</x:v>
      </x:c>
      <x:c r="L16" s="84" t="n">
        <x:f>(C16-IF(A16="Atual",IF(B16="Essencial",Perfis_Uso!$P$5,IF(B16="Profissional",Perfis_Uso!$P$6,Perfis_Uso!$P$7)),IF(B16="Starter",Perfis_Uso!$P$5,IF(B16="Pro",Perfis_Uso!$P$6,Perfis_Uso!$P$5*35%+Perfis_Uso!$P$6*50%+Perfis_Uso!$P$7*15%)))-(C16*Premissas!$C$14*Premissas!$C$11+Premissas!$C$14*Premissas!$C$12+Premissas!$C$15*Premissas!$C$13))/C16</x:f>
        <x:v>0.9051520624105132</x:v>
      </x:c>
      <x:c r="M16" s="81" t="str">
        <x:v>CS e SLA</x:v>
      </x:c>
      <x:c r="N16" s="81" t="str">
        <x:v>Enterprise light</x:v>
      </x:c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</x:row>
    <x:row r="18" ht="56" customHeight="1">
      <x:c r="A18" s="103" t="str">
        <x:v>Arquitetura recomendada: preço por conta + usuários e consumo incluídos + add-ons/créditos. Cobrar por usuário puro pune colaboração; cobrar só por uso destrói previsibilidade; plano ilimitado cria risco de cauda.</x:v>
      </x:c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</x:row>
  </x:sheetData>
  <x:mergeCells>
    <x:mergeCell ref="A1:N1"/>
    <x:mergeCell ref="A2:N2"/>
    <x:mergeCell ref="A18:N2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8" hidden="0" customWidth="1"/>
  </x:cols>
  <x:sheetData>
    <x:row r="1" ht="34" customHeight="1">
      <x:c r="A1" s="88" t="str">
        <x:v>Gateways para assinatura SaaS no Brasil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</x:row>
    <x:row r="2" ht="26" customHeight="1">
      <x:c r="A2" s="79" t="str">
        <x:v>Separar a conta de billing da Lotti da conta Asaas usada pelos clientes para cobrar aluguel.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24" customHeight="1">
      <x:c r="A4" s="80" t="str">
        <x:v>Gateway</x:v>
      </x:c>
      <x:c r="B4" s="80" t="str">
        <x:v>Mensalidade</x:v>
      </x:c>
      <x:c r="C4" s="80" t="str">
        <x:v>Cartão</x:v>
      </x:c>
      <x:c r="D4" s="80" t="str">
        <x:v>Pix</x:v>
      </x:c>
      <x:c r="E4" s="80" t="str">
        <x:v>Boleto</x:v>
      </x:c>
      <x:c r="F4" s="80" t="str">
        <x:v>Recorrência</x:v>
      </x:c>
      <x:c r="G4" s="80" t="str">
        <x:v>Webhooks/API</x:v>
      </x:c>
      <x:c r="H4" s="80" t="str">
        <x:v>Dunning</x:v>
      </x:c>
      <x:c r="I4" s="80" t="str">
        <x:v>DX</x:v>
      </x:c>
      <x:c r="J4" s="80" t="str">
        <x:v>Custo</x:v>
      </x:c>
      <x:c r="K4" s="80" t="str">
        <x:v>Fit Brasil</x:v>
      </x:c>
      <x:c r="L4" s="80" t="str">
        <x:v>Risco troca</x:v>
      </x:c>
      <x:c r="M4" s="80" t="str">
        <x:v>Score 0–10</x:v>
      </x:c>
      <x:c r="N4" s="80" t="str">
        <x:v>Recomendação</x:v>
      </x:c>
    </x:row>
    <x:row r="5">
      <x:c r="A5" s="81" t="str">
        <x:v>Asaas</x:v>
      </x:c>
      <x:c r="B5" s="81" t="str">
        <x:v>R$0</x:v>
      </x:c>
      <x:c r="C5" s="81" t="str">
        <x:v>2,99% + R$0,49</x:v>
      </x:c>
      <x:c r="D5" s="81" t="str">
        <x:v>R$1,99</x:v>
      </x:c>
      <x:c r="E5" s="81" t="str">
        <x:v>R$1,99</x:v>
      </x:c>
      <x:c r="F5" s="81" t="str">
        <x:v>Sim</x:v>
      </x:c>
      <x:c r="G5" s="81" t="str">
        <x:v>Boa</x:v>
      </x:c>
      <x:c r="H5" s="81" t="str">
        <x:v>Básico</x:v>
      </x:c>
      <x:c r="I5" s="81" t="str">
        <x:v>Boa</x:v>
      </x:c>
      <x:c r="J5" s="81" t="str">
        <x:v>9</x:v>
      </x:c>
      <x:c r="K5" s="81" t="str">
        <x:v>10</x:v>
      </x:c>
      <x:c r="L5" s="81" t="str">
        <x:v>Baixo</x:v>
      </x:c>
      <x:c r="M5" s="108" t="n">
        <x:v>8.9</x:v>
      </x:c>
      <x:c r="N5" s="81" t="str">
        <x:v>Primário: melhor caminho incremental</x:v>
      </x:c>
    </x:row>
    <x:row r="6">
      <x:c r="A6" s="81" t="str">
        <x:v>Stripe</x:v>
      </x:c>
      <x:c r="B6" s="81" t="str">
        <x:v>R$0 + Billing</x:v>
      </x:c>
      <x:c r="C6" s="81" t="str">
        <x:v>3,99% + R$0,39</x:v>
      </x:c>
      <x:c r="D6" s="81" t="str">
        <x:v>1,19% convite</x:v>
      </x:c>
      <x:c r="E6" s="81" t="str">
        <x:v>R$3,45</x:v>
      </x:c>
      <x:c r="F6" s="81" t="str">
        <x:v>Sim</x:v>
      </x:c>
      <x:c r="G6" s="81" t="str">
        <x:v>Excelente</x:v>
      </x:c>
      <x:c r="H6" s="81" t="str">
        <x:v>Forte</x:v>
      </x:c>
      <x:c r="I6" s="81" t="str">
        <x:v>Excelente</x:v>
      </x:c>
      <x:c r="J6" s="81" t="str">
        <x:v>6</x:v>
      </x:c>
      <x:c r="K6" s="81" t="str">
        <x:v>8</x:v>
      </x:c>
      <x:c r="L6" s="81" t="str">
        <x:v>Médio</x:v>
      </x:c>
      <x:c r="M6" s="108" t="n">
        <x:v>8.2</x:v>
      </x:c>
      <x:c r="N6" s="81" t="str">
        <x:v>Backup/expansão internacional</x:v>
      </x:c>
    </x:row>
    <x:row r="7">
      <x:c r="A7" s="81" t="str">
        <x:v>Vindi</x:v>
      </x:c>
      <x:c r="B7" s="81" t="str">
        <x:v>R$299+</x:v>
      </x:c>
      <x:c r="C7" s="81" t="str">
        <x:v>Desde 2,75% + processamento</x:v>
      </x:c>
      <x:c r="D7" s="81" t="str">
        <x:v>0,95% mín. R$1,60</x:v>
      </x:c>
      <x:c r="E7" s="81" t="str">
        <x:v>R$2,99</x:v>
      </x:c>
      <x:c r="F7" s="81" t="str">
        <x:v>Sim</x:v>
      </x:c>
      <x:c r="G7" s="81" t="str">
        <x:v>Boa</x:v>
      </x:c>
      <x:c r="H7" s="81" t="str">
        <x:v>Forte</x:v>
      </x:c>
      <x:c r="I7" s="81" t="str">
        <x:v>Boa</x:v>
      </x:c>
      <x:c r="J7" s="81" t="str">
        <x:v>5</x:v>
      </x:c>
      <x:c r="K7" s="81" t="str">
        <x:v>9</x:v>
      </x:c>
      <x:c r="L7" s="81" t="str">
        <x:v>Alto</x:v>
      </x:c>
      <x:c r="M7" s="108" t="n">
        <x:v>6.7</x:v>
      </x:c>
      <x:c r="N7" s="81" t="str">
        <x:v>Boa, mas custo fixo precoce</x:v>
      </x:c>
    </x:row>
    <x:row r="8">
      <x:c r="A8" s="81" t="str">
        <x:v>iugu</x:v>
      </x:c>
      <x:c r="B8" s="81" t="str">
        <x:v>Sob consulta</x:v>
      </x:c>
      <x:c r="C8" s="81" t="str">
        <x:v>Sob consulta</x:v>
      </x:c>
      <x:c r="D8" s="81" t="str">
        <x:v>Sob consulta</x:v>
      </x:c>
      <x:c r="E8" s="81" t="str">
        <x:v>Sob consulta</x:v>
      </x:c>
      <x:c r="F8" s="81" t="str">
        <x:v>Sim</x:v>
      </x:c>
      <x:c r="G8" s="81" t="str">
        <x:v>Boa</x:v>
      </x:c>
      <x:c r="H8" s="81" t="str">
        <x:v>Forte</x:v>
      </x:c>
      <x:c r="I8" s="81" t="str">
        <x:v>Boa</x:v>
      </x:c>
      <x:c r="J8" s="81" t="str">
        <x:v>5</x:v>
      </x:c>
      <x:c r="K8" s="81" t="str">
        <x:v>9</x:v>
      </x:c>
      <x:c r="L8" s="81" t="str">
        <x:v>Alto</x:v>
      </x:c>
      <x:c r="M8" s="108" t="n">
        <x:v>6.5</x:v>
      </x:c>
      <x:c r="N8" s="81" t="str">
        <x:v>Avaliar em escala/negociação</x:v>
      </x:c>
    </x:row>
    <x:row r="9">
      <x:c r="A9" s="81" t="str">
        <x:v>Pagar.me</x:v>
      </x:c>
      <x:c r="B9" s="81" t="str">
        <x:v>Sob consulta</x:v>
      </x:c>
      <x:c r="C9" s="81" t="str">
        <x:v>Sob consulta</x:v>
      </x:c>
      <x:c r="D9" s="81" t="str">
        <x:v>Sob consulta</x:v>
      </x:c>
      <x:c r="E9" s="81" t="str">
        <x:v>Sob consulta</x:v>
      </x:c>
      <x:c r="F9" s="81" t="str">
        <x:v>Sim</x:v>
      </x:c>
      <x:c r="G9" s="81" t="str">
        <x:v>Excelente</x:v>
      </x:c>
      <x:c r="H9" s="81" t="str">
        <x:v>Boa</x:v>
      </x:c>
      <x:c r="I9" s="81" t="str">
        <x:v>Excelente</x:v>
      </x:c>
      <x:c r="J9" s="81" t="str">
        <x:v>6</x:v>
      </x:c>
      <x:c r="K9" s="81" t="str">
        <x:v>9</x:v>
      </x:c>
      <x:c r="L9" s="81" t="str">
        <x:v>Alto</x:v>
      </x:c>
      <x:c r="M9" s="108" t="n">
        <x:v>7.2</x:v>
      </x:c>
      <x:c r="N9" s="81" t="str">
        <x:v>Forte API; preço precisa proposta</x:v>
      </x:c>
    </x:row>
    <x:row r="10">
      <x:c r="A10" s="81" t="str">
        <x:v>Mercado Pago</x:v>
      </x:c>
      <x:c r="B10" s="81" t="str">
        <x:v>R$0</x:v>
      </x:c>
      <x:c r="C10" s="81" t="str">
        <x:v>3,99%–4,99% por prazo</x:v>
      </x:c>
      <x:c r="D10" s="81" t="str">
        <x:v>Disponível</x:v>
      </x:c>
      <x:c r="E10" s="81" t="str">
        <x:v>Disponível</x:v>
      </x:c>
      <x:c r="F10" s="81" t="str">
        <x:v>Sim</x:v>
      </x:c>
      <x:c r="G10" s="81" t="str">
        <x:v>Boa</x:v>
      </x:c>
      <x:c r="H10" s="81" t="str">
        <x:v>Retentativas</x:v>
      </x:c>
      <x:c r="I10" s="81" t="str">
        <x:v>Boa</x:v>
      </x:c>
      <x:c r="J10" s="81" t="str">
        <x:v>7</x:v>
      </x:c>
      <x:c r="K10" s="81" t="str">
        <x:v>10</x:v>
      </x:c>
      <x:c r="L10" s="81" t="str">
        <x:v>Médio</x:v>
      </x:c>
      <x:c r="M10" s="108" t="n">
        <x:v>7.4</x:v>
      </x:c>
      <x:c r="N10" s="81" t="str">
        <x:v>Bom fallback self-service</x:v>
      </x:c>
    </x:row>
    <x:row r="1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</x:row>
    <x:row r="12" ht="58" customHeight="1">
      <x:c r="A12" s="109" t="str">
        <x:v>Decisão: implementar Asaas em uma conta separada para o SaaS, com cartão recorrente como padrão e Pix/boleto como fallback. Instrumentar falha, retentativa, grace period e cancelamento. Não reutilizar credenciais nem o fluxo financeiro dos inquilinos.</x:v>
      </x:c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</x:row>
  </x:sheetData>
  <x:mergeCells>
    <x:mergeCell ref="A1:N1"/>
    <x:mergeCell ref="A2:N2"/>
    <x:mergeCell ref="A12:N14"/>
  </x:mergeCells>
  <x:pageMargins left="0.7" right="0.7" top="0.75" bottom="0.75" header="0.3" footer="0.3"/>
  <x:legacyDrawing xmlns:r="http://schemas.openxmlformats.org/officeDocument/2006/relationships" r:id="Rdeefe83f374e47a1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88" t="str">
        <x:v>Controles de integridade</x:v>
      </x:c>
      <x:c r="B1" s="78"/>
      <x:c r="C1" s="78"/>
      <x:c r="D1" s="78"/>
      <x:c r="E1" s="78"/>
      <x:c r="F1" s="78"/>
      <x:c r="G1" s="78"/>
      <x:c r="H1" s="78"/>
    </x:row>
    <x:row r="2" ht="26" customHeight="1">
      <x:c r="A2" s="79" t="str">
        <x:v>Todos os checks devem retornar OK antes de usar o modelo em decisão.</x:v>
      </x:c>
      <x:c r="B2" s="78"/>
      <x:c r="C2" s="78"/>
      <x:c r="D2" s="78"/>
      <x:c r="E2" s="78"/>
      <x:c r="F2" s="78"/>
      <x:c r="G2" s="78"/>
      <x:c r="H2" s="78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 ht="24" customHeight="1">
      <x:c r="A4" s="80" t="str">
        <x:v>Check</x:v>
      </x:c>
      <x:c r="B4" s="80" t="str">
        <x:v>Valor</x:v>
      </x:c>
      <x:c r="C4" s="80" t="str">
        <x:v>Esperado</x:v>
      </x:c>
      <x:c r="D4" s="80" t="str">
        <x:v>Status</x:v>
      </x:c>
      <x:c r="E4" s="80"/>
      <x:c r="F4" s="80"/>
      <x:c r="G4" s="80"/>
      <x:c r="H4" s="80"/>
    </x:row>
    <x:row r="5">
      <x:c r="A5" s="81" t="str">
        <x:v>Mix perfis soma 100%</x:v>
      </x:c>
      <x:c r="B5" s="82" t="n">
        <x:f>SUM(Perfis_Uso!Q5:Q7)</x:f>
        <x:v>1</x:v>
      </x:c>
      <x:c r="C5" s="81" t="n">
        <x:v>1</x:v>
      </x:c>
      <x:c r="D5" s="110" t="str">
        <x:f>IF(ABS(B5-C5)&lt;0.0001,"OK","ERRO")</x:f>
        <x:v>OK</x:v>
      </x:c>
      <x:c r="E5" s="78"/>
      <x:c r="F5" s="78"/>
      <x:c r="G5" s="78"/>
      <x:c r="H5" s="78"/>
    </x:row>
    <x:row r="6">
      <x:c r="A6" s="81" t="str">
        <x:v>Mix pagamentos soma 100%</x:v>
      </x:c>
      <x:c r="B6" s="82" t="n">
        <x:f>Premissas!C14+Premissas!C15</x:f>
        <x:v>1</x:v>
      </x:c>
      <x:c r="C6" s="81" t="n">
        <x:v>1</x:v>
      </x:c>
      <x:c r="D6" s="110" t="str">
        <x:f>IF(ABS(B6-C6)&lt;0.0001,"OK","ERRO")</x:f>
        <x:v>OK</x:v>
      </x:c>
      <x:c r="E6" s="78"/>
      <x:c r="F6" s="78"/>
      <x:c r="G6" s="78"/>
      <x:c r="H6" s="78"/>
    </x:row>
    <x:row r="7">
      <x:c r="A7" s="81" t="str">
        <x:v>Preços positivos</x:v>
      </x:c>
      <x:c r="B7" s="82" t="n">
        <x:f>MIN(Pricing!C5:C16)</x:f>
        <x:v>99</x:v>
      </x:c>
      <x:c r="C7" s="81" t="str">
        <x:v>&gt;0</x:v>
      </x:c>
      <x:c r="D7" s="110" t="str">
        <x:f>IF(B7&gt;0,"OK","ERRO")</x:f>
        <x:v>OK</x:v>
      </x:c>
      <x:c r="E7" s="78"/>
      <x:c r="F7" s="78"/>
      <x:c r="G7" s="78"/>
      <x:c r="H7" s="78"/>
    </x:row>
    <x:row r="8">
      <x:c r="A8" s="81" t="str">
        <x:v>Churn base entre 0 e 100%</x:v>
      </x:c>
      <x:c r="B8" s="82" t="n">
        <x:f>Premissas!C25</x:f>
        <x:v>0.03</x:v>
      </x:c>
      <x:c r="C8" s="81" t="str">
        <x:v>0–100%</x:v>
      </x:c>
      <x:c r="D8" s="110" t="str">
        <x:f>IF(AND(B8&gt;=0,B8&lt;1),"OK","ERRO")</x:f>
        <x:v>OK</x:v>
      </x:c>
      <x:c r="E8" s="78"/>
      <x:c r="F8" s="78"/>
      <x:c r="G8" s="78"/>
      <x:c r="H8" s="78"/>
    </x:row>
    <x:row r="9">
      <x:c r="A9" s="81" t="str">
        <x:v>GM base acima de 60%</x:v>
      </x:c>
      <x:c r="B9" s="82" t="n">
        <x:f>Unit_Economics!B8</x:f>
        <x:v>0.8320445876298077</x:v>
      </x:c>
      <x:c r="C9" s="81" t="str">
        <x:v>&gt;60%</x:v>
      </x:c>
      <x:c r="D9" s="110" t="str">
        <x:f>IF(B9&gt;0.6,"OK","ALERTA")</x:f>
        <x:v>OK</x:v>
      </x:c>
      <x:c r="E9" s="78"/>
      <x:c r="F9" s="78"/>
      <x:c r="G9" s="78"/>
      <x:c r="H9" s="78"/>
    </x:row>
    <x:row r="10">
      <x:c r="A10" s="81" t="str">
        <x:v>Contribuição positiva</x:v>
      </x:c>
      <x:c r="B10" s="82" t="n">
        <x:f>Unit_Economics!B9</x:f>
        <x:v>151.225274227</x:v>
      </x:c>
      <x:c r="C10" s="81" t="str">
        <x:v>&gt;0</x:v>
      </x:c>
      <x:c r="D10" s="110" t="str">
        <x:f>IF(B10&gt;0,"OK","ERRO")</x:f>
        <x:v>OK</x:v>
      </x:c>
      <x:c r="E10" s="78"/>
      <x:c r="F10" s="78"/>
      <x:c r="G10" s="78"/>
      <x:c r="H10" s="78"/>
    </x:row>
    <x:row r="11">
      <x:c r="A11" s="81" t="str">
        <x:v>LTV/CAC base acima de 3x</x:v>
      </x:c>
      <x:c r="B11" s="82" t="n">
        <x:f>Unit_Economics!B13</x:f>
        <x:v>12.81964994274074</x:v>
      </x:c>
      <x:c r="C11" s="81" t="str">
        <x:v>&gt;3x</x:v>
      </x:c>
      <x:c r="D11" s="110" t="str">
        <x:f>IF(B11&gt;=3,"OK","ALERTA")</x:f>
        <x:v>OK</x:v>
      </x:c>
      <x:c r="E11" s="78"/>
      <x:c r="F11" s="78"/>
      <x:c r="G11" s="78"/>
      <x:c r="H11" s="78"/>
    </x:row>
    <x:row r="12">
      <x:c r="A12" s="81" t="str">
        <x:v>Payback abaixo de 12m</x:v>
      </x:c>
      <x:c r="B12" s="82" t="n">
        <x:f>Unit_Economics!B14</x:f>
        <x:v>2.9756930665208627</x:v>
      </x:c>
      <x:c r="C12" s="81" t="str">
        <x:v>&lt;12</x:v>
      </x:c>
      <x:c r="D12" s="110" t="str">
        <x:f>IF(B12&lt;12,"OK","ALERTA")</x:f>
        <x:v>OK</x:v>
      </x:c>
      <x:c r="E12" s="78"/>
      <x:c r="F12" s="78"/>
      <x:c r="G12" s="78"/>
      <x:c r="H12" s="78"/>
    </x:row>
    <x:row r="13">
      <x:c r="A13" s="81" t="str">
        <x:v>ARPA reconciliado</x:v>
      </x:c>
      <x:c r="B13" s="82" t="n">
        <x:f>SUMPRODUCT({0.55,0.35,0.1},{129,249,499})</x:f>
        <x:v>208</x:v>
      </x:c>
      <x:c r="C13" s="81" t="n">
        <x:v>208</x:v>
      </x:c>
      <x:c r="D13" s="110" t="str">
        <x:f>IF(ABS(B13-C13)&lt;0.01,"OK","ERRO")</x:f>
        <x:v>OK</x:v>
      </x:c>
      <x:c r="E13" s="78"/>
      <x:c r="F13" s="78"/>
      <x:c r="G13" s="78"/>
      <x:c r="H13" s="78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18" hidden="0" customWidth="1"/>
    <x:col min="5" max="5" width="7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88" t="str">
        <x:v>Fontes e trilha de evidência</x:v>
      </x:c>
      <x:c r="B1" s="78"/>
      <x:c r="C1" s="78"/>
      <x:c r="D1" s="78"/>
      <x:c r="E1" s="78"/>
      <x:c r="F1" s="78"/>
      <x:c r="G1" s="78"/>
      <x:c r="H1" s="78"/>
      <x:c r="I1" s="78"/>
    </x:row>
    <x:row r="2" ht="26" customHeight="1">
      <x:c r="A2" s="79" t="str">
        <x:v>Consulta em 12/08/2026. A data de publicação é registrada quando disponível na página; caso contrário, ND.</x:v>
      </x:c>
      <x:c r="B2" s="78"/>
      <x:c r="C2" s="78"/>
      <x:c r="D2" s="78"/>
      <x:c r="E2" s="78"/>
      <x:c r="F2" s="78"/>
      <x:c r="G2" s="78"/>
      <x:c r="H2" s="78"/>
      <x:c r="I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24" customHeight="1">
      <x:c r="A4" s="80" t="str">
        <x:v>ID</x:v>
      </x:c>
      <x:c r="B4" s="80" t="str">
        <x:v>Tema</x:v>
      </x:c>
      <x:c r="C4" s="80" t="str">
        <x:v>Dado</x:v>
      </x:c>
      <x:c r="D4" s="80" t="str">
        <x:v>Status</x:v>
      </x:c>
      <x:c r="E4" s="80" t="str">
        <x:v>URL</x:v>
      </x:c>
      <x:c r="F4" s="80" t="str">
        <x:v>Publicação</x:v>
      </x:c>
      <x:c r="G4" s="80" t="str">
        <x:v>Consulta</x:v>
      </x:c>
      <x:c r="H4" s="80" t="str">
        <x:v>Confiança</x:v>
      </x:c>
      <x:c r="I4" s="80" t="str">
        <x:v>Uso no modelo</x:v>
      </x:c>
    </x:row>
    <x:row r="5">
      <x:c r="A5" s="81" t="str">
        <x:v>S01</x:v>
      </x:c>
      <x:c r="B5" s="81" t="str">
        <x:v>Mercado</x:v>
      </x:c>
      <x:c r="C5" s="81" t="str">
        <x:v>650 mil corretores e 74 mil empresas</x:v>
      </x:c>
      <x:c r="D5" s="81" t="str">
        <x:v>CONFIRMADO</x:v>
      </x:c>
      <x:c r="E5" s="81" t="str">
        <x:v>https://www.cofeci.gov.br/post/sistema-cofeci-creci-rompendo-fronteiras-e-gerando-neg%C3%B3cios</x:v>
      </x:c>
      <x:c r="F5" s="81" t="str">
        <x:v>23/03/2025; atualizado 16/06/2025</x:v>
      </x:c>
      <x:c r="G5" s="81" t="str">
        <x:v>12/08/2026</x:v>
      </x:c>
      <x:c r="H5" s="81" t="str">
        <x:v>Alta</x:v>
      </x:c>
      <x:c r="I5" s="81" t="str">
        <x:v>TAM bottom-up</x:v>
      </x:c>
    </x:row>
    <x:row r="6">
      <x:c r="A6" s="81" t="str">
        <x:v>S02</x:v>
      </x:c>
      <x:c r="B6" s="81" t="str">
        <x:v>Jetimob</x:v>
      </x:c>
      <x:c r="C6" s="81" t="str">
        <x:v>A partir de R$229/mês anual</x:v>
      </x:c>
      <x:c r="D6" s="81" t="str">
        <x:v>CONFIRMADO</x:v>
      </x:c>
      <x:c r="E6" s="81" t="str">
        <x:v>https://www.jetimob.com/planos</x:v>
      </x:c>
      <x:c r="F6" s="81" t="str">
        <x:v>ND</x:v>
      </x:c>
      <x:c r="G6" s="81" t="str">
        <x:v>12/08/2026</x:v>
      </x:c>
      <x:c r="H6" s="81" t="str">
        <x:v>Alta</x:v>
      </x:c>
      <x:c r="I6" s="81" t="str">
        <x:v>Benchmark</x:v>
      </x:c>
    </x:row>
    <x:row r="7">
      <x:c r="A7" s="81" t="str">
        <x:v>S03</x:v>
      </x:c>
      <x:c r="B7" s="81" t="str">
        <x:v>Kenlo</x:v>
      </x:c>
      <x:c r="C7" s="81" t="str">
        <x:v>R$247 / R$497 / R$1.197 equivalentes anuais</x:v>
      </x:c>
      <x:c r="D7" s="81" t="str">
        <x:v>CONFIRMADO</x:v>
      </x:c>
      <x:c r="E7" s="81" t="str">
        <x:v>https://plataforma.kenlo.com.br/kenlo-imob-planos</x:v>
      </x:c>
      <x:c r="F7" s="81" t="str">
        <x:v>ND</x:v>
      </x:c>
      <x:c r="G7" s="81" t="str">
        <x:v>12/08/2026</x:v>
      </x:c>
      <x:c r="H7" s="81" t="str">
        <x:v>Alta</x:v>
      </x:c>
      <x:c r="I7" s="81" t="str">
        <x:v>Benchmark</x:v>
      </x:c>
    </x:row>
    <x:row r="8">
      <x:c r="A8" s="81" t="str">
        <x:v>S04</x:v>
      </x:c>
      <x:c r="B8" s="81" t="str">
        <x:v>Tecimob</x:v>
      </x:c>
      <x:c r="C8" s="81" t="str">
        <x:v>R$129,90; +R$19,90/usuário</x:v>
      </x:c>
      <x:c r="D8" s="81" t="str">
        <x:v>CONFIRMADO</x:v>
      </x:c>
      <x:c r="E8" s="81" t="str">
        <x:v>https://tecimob.com.br/planos/</x:v>
      </x:c>
      <x:c r="F8" s="81" t="str">
        <x:v>ND</x:v>
      </x:c>
      <x:c r="G8" s="81" t="str">
        <x:v>12/08/2026</x:v>
      </x:c>
      <x:c r="H8" s="81" t="str">
        <x:v>Alta</x:v>
      </x:c>
      <x:c r="I8" s="81" t="str">
        <x:v>Benchmark</x:v>
      </x:c>
    </x:row>
    <x:row r="9">
      <x:c r="A9" s="81" t="str">
        <x:v>S05</x:v>
      </x:c>
      <x:c r="B9" s="81" t="str">
        <x:v>Vista</x:v>
      </x:c>
      <x:c r="C9" s="81" t="str">
        <x:v>R$129,90 a R$1.899,90/mês</x:v>
      </x:c>
      <x:c r="D9" s="81" t="str">
        <x:v>CONFIRMADO</x:v>
      </x:c>
      <x:c r="E9" s="81" t="str">
        <x:v>https://www.vistasoft.com.br/plano-crm/</x:v>
      </x:c>
      <x:c r="F9" s="81" t="str">
        <x:v>ND</x:v>
      </x:c>
      <x:c r="G9" s="81" t="str">
        <x:v>12/08/2026</x:v>
      </x:c>
      <x:c r="H9" s="81" t="str">
        <x:v>Alta</x:v>
      </x:c>
      <x:c r="I9" s="81" t="str">
        <x:v>Benchmark</x:v>
      </x:c>
    </x:row>
    <x:row r="10">
      <x:c r="A10" s="81" t="str">
        <x:v>S06</x:v>
      </x:c>
      <x:c r="B10" s="81" t="str">
        <x:v>Superlógica</x:v>
      </x:c>
      <x:c r="C10" s="81" t="str">
        <x:v>ERP/CRM; preços sob consulta</x:v>
      </x:c>
      <x:c r="D10" s="81" t="str">
        <x:v>CONFIRMADO</x:v>
      </x:c>
      <x:c r="E10" s="81" t="str">
        <x:v>https://superlogica.com/imobiliarias/planos/</x:v>
      </x:c>
      <x:c r="F10" s="81" t="str">
        <x:v>ND</x:v>
      </x:c>
      <x:c r="G10" s="81" t="str">
        <x:v>12/08/2026</x:v>
      </x:c>
      <x:c r="H10" s="81" t="str">
        <x:v>Alta</x:v>
      </x:c>
      <x:c r="I10" s="81" t="str">
        <x:v>Matriz</x:v>
      </x:c>
    </x:row>
    <x:row r="11">
      <x:c r="A11" s="81" t="str">
        <x:v>S07</x:v>
      </x:c>
      <x:c r="B11" s="81" t="str">
        <x:v>Imobzi</x:v>
      </x:c>
      <x:c r="C11" s="81" t="str">
        <x:v>CRM+ERP; preço sob consulta; +R$59 usuário</x:v>
      </x:c>
      <x:c r="D11" s="81" t="str">
        <x:v>CONFIRMADO</x:v>
      </x:c>
      <x:c r="E11" s="81" t="str">
        <x:v>https://www.imobzi.com/planos-para-cobrancas-recorrentes-com-crm-e-erp/</x:v>
      </x:c>
      <x:c r="F11" s="81" t="str">
        <x:v>ND</x:v>
      </x:c>
      <x:c r="G11" s="81" t="str">
        <x:v>12/08/2026</x:v>
      </x:c>
      <x:c r="H11" s="81" t="str">
        <x:v>Alta</x:v>
      </x:c>
      <x:c r="I11" s="81" t="str">
        <x:v>Matriz</x:v>
      </x:c>
    </x:row>
    <x:row r="12">
      <x:c r="A12" s="81" t="str">
        <x:v>S08</x:v>
      </x:c>
      <x:c r="B12" s="81" t="str">
        <x:v>Supabase</x:v>
      </x:c>
      <x:c r="C12" s="81" t="str">
        <x:v>Pro US$25; storage US$0,0213/GB</x:v>
      </x:c>
      <x:c r="D12" s="81" t="str">
        <x:v>CONFIRMADO</x:v>
      </x:c>
      <x:c r="E12" s="81" t="str">
        <x:v>https://supabase.com/pricing</x:v>
      </x:c>
      <x:c r="F12" s="81" t="str">
        <x:v>ND</x:v>
      </x:c>
      <x:c r="G12" s="81" t="str">
        <x:v>12/08/2026</x:v>
      </x:c>
      <x:c r="H12" s="81" t="str">
        <x:v>Alta</x:v>
      </x:c>
      <x:c r="I12" s="81" t="str">
        <x:v>COGS</x:v>
      </x:c>
    </x:row>
    <x:row r="13">
      <x:c r="A13" s="81" t="str">
        <x:v>S09</x:v>
      </x:c>
      <x:c r="B13" s="81" t="str">
        <x:v>Vercel</x:v>
      </x:c>
      <x:c r="C13" s="81" t="str">
        <x:v>Pro US$20/mês</x:v>
      </x:c>
      <x:c r="D13" s="81" t="str">
        <x:v>CONFIRMADO</x:v>
      </x:c>
      <x:c r="E13" s="81" t="str">
        <x:v>https://vercel.com/docs/plans/pro-plan</x:v>
      </x:c>
      <x:c r="F13" s="81" t="str">
        <x:v>ND</x:v>
      </x:c>
      <x:c r="G13" s="81" t="str">
        <x:v>12/08/2026</x:v>
      </x:c>
      <x:c r="H13" s="81" t="str">
        <x:v>Alta</x:v>
      </x:c>
      <x:c r="I13" s="81" t="str">
        <x:v>COGS</x:v>
      </x:c>
    </x:row>
    <x:row r="14">
      <x:c r="A14" s="81" t="str">
        <x:v>S10</x:v>
      </x:c>
      <x:c r="B14" s="81" t="str">
        <x:v>Gemini</x:v>
      </x:c>
      <x:c r="C14" s="81" t="str">
        <x:v>2.5 Flash: US$0,30 input / US$2,50 output</x:v>
      </x:c>
      <x:c r="D14" s="81" t="str">
        <x:v>CONFIRMADO</x:v>
      </x:c>
      <x:c r="E14" s="81" t="str">
        <x:v>https://ai.google.dev/gemini-api/docs/pricing</x:v>
      </x:c>
      <x:c r="F14" s="81" t="str">
        <x:v>ND</x:v>
      </x:c>
      <x:c r="G14" s="81" t="str">
        <x:v>12/08/2026</x:v>
      </x:c>
      <x:c r="H14" s="81" t="str">
        <x:v>Alta</x:v>
      </x:c>
      <x:c r="I14" s="81" t="str">
        <x:v>COGS IA</x:v>
      </x:c>
    </x:row>
    <x:row r="15">
      <x:c r="A15" s="81" t="str">
        <x:v>S11</x:v>
      </x:c>
      <x:c r="B15" s="81" t="str">
        <x:v>Asaas</x:v>
      </x:c>
      <x:c r="C15" s="81" t="str">
        <x:v>Cartão 2,99%+R$0,49; Pix/boleto R$1,99</x:v>
      </x:c>
      <x:c r="D15" s="81" t="str">
        <x:v>CONFIRMADO</x:v>
      </x:c>
      <x:c r="E15" s="81" t="str">
        <x:v>https://www.asaas.com/precos-e-taxas</x:v>
      </x:c>
      <x:c r="F15" s="81" t="str">
        <x:v>ND</x:v>
      </x:c>
      <x:c r="G15" s="81" t="str">
        <x:v>12/08/2026</x:v>
      </x:c>
      <x:c r="H15" s="81" t="str">
        <x:v>Alta</x:v>
      </x:c>
      <x:c r="I15" s="81" t="str">
        <x:v>Gateway</x:v>
      </x:c>
    </x:row>
    <x:row r="16">
      <x:c r="A16" s="81" t="str">
        <x:v>S12</x:v>
      </x:c>
      <x:c r="B16" s="81" t="str">
        <x:v>Stripe</x:v>
      </x:c>
      <x:c r="C16" s="81" t="str">
        <x:v>Cartão 3,99%+R$0,39; boleto R$3,45</x:v>
      </x:c>
      <x:c r="D16" s="81" t="str">
        <x:v>CONFIRMADO</x:v>
      </x:c>
      <x:c r="E16" s="81" t="str">
        <x:v>https://stripe.com/br/pricing</x:v>
      </x:c>
      <x:c r="F16" s="81" t="str">
        <x:v>ND</x:v>
      </x:c>
      <x:c r="G16" s="81" t="str">
        <x:v>12/08/2026</x:v>
      </x:c>
      <x:c r="H16" s="81" t="str">
        <x:v>Alta</x:v>
      </x:c>
      <x:c r="I16" s="81" t="str">
        <x:v>Gateway</x:v>
      </x:c>
    </x:row>
    <x:row r="17">
      <x:c r="A17" s="81" t="str">
        <x:v>S13</x:v>
      </x:c>
      <x:c r="B17" s="81" t="str">
        <x:v>Vindi</x:v>
      </x:c>
      <x:c r="C17" s="81" t="str">
        <x:v>R$299/R$499/R$1.119 + taxas</x:v>
      </x:c>
      <x:c r="D17" s="81" t="str">
        <x:v>CONFIRMADO</x:v>
      </x:c>
      <x:c r="E17" s="81" t="str">
        <x:v>https://vindi.com.br/precos/</x:v>
      </x:c>
      <x:c r="F17" s="81" t="str">
        <x:v>ND</x:v>
      </x:c>
      <x:c r="G17" s="81" t="str">
        <x:v>12/08/2026</x:v>
      </x:c>
      <x:c r="H17" s="81" t="str">
        <x:v>Alta</x:v>
      </x:c>
      <x:c r="I17" s="81" t="str">
        <x:v>Gateway</x:v>
      </x:c>
    </x:row>
    <x:row r="18">
      <x:c r="A18" s="81" t="str">
        <x:v>S14</x:v>
      </x:c>
      <x:c r="B18" s="81" t="str">
        <x:v>WhatsApp</x:v>
      </x:c>
      <x:c r="C18" s="81" t="str">
        <x:v>Cobrança por mensagem entregue, mercado e categoria</x:v>
      </x:c>
      <x:c r="D18" s="81" t="str">
        <x:v>CONFIRMADO</x:v>
      </x:c>
      <x:c r="E18" s="81" t="str">
        <x:v>https://whatsappbusiness.com/products/platform-pricing/</x:v>
      </x:c>
      <x:c r="F18" s="81" t="str">
        <x:v>ND</x:v>
      </x:c>
      <x:c r="G18" s="81" t="str">
        <x:v>12/08/2026</x:v>
      </x:c>
      <x:c r="H18" s="81" t="str">
        <x:v>Alta</x:v>
      </x:c>
      <x:c r="I18" s="81" t="str">
        <x:v>COGS messaging</x:v>
      </x:c>
    </x:row>
    <x:row r="19">
      <x:c r="A19" s="81" t="str">
        <x:v>S15</x:v>
      </x:c>
      <x:c r="B19" s="81" t="str">
        <x:v>PTAX</x:v>
      </x:c>
      <x:c r="C19" s="81" t="str">
        <x:v>Venda R$5,1639/USD</x:v>
      </x:c>
      <x:c r="D19" s="81" t="str">
        <x:v>CONFIRMADO</x:v>
      </x:c>
      <x:c r="E19" s="81" t="str">
        <x:v>https://olinda.bcb.gov.br/olinda/servico/PTAX/versao/v1/odata/</x:v>
      </x:c>
      <x:c r="F19" s="81" t="str">
        <x:v>12/08/2026</x:v>
      </x:c>
      <x:c r="G19" s="81" t="str">
        <x:v>12/08/2026</x:v>
      </x:c>
      <x:c r="H19" s="81" t="str">
        <x:v>Alta</x:v>
      </x:c>
      <x:c r="I19" s="81" t="str">
        <x:v>Conversão cambial</x:v>
      </x:c>
    </x:row>
    <x:row r="20">
      <x:c r="A20" s="81" t="str">
        <x:v>R01</x:v>
      </x:c>
      <x:c r="B20" s="81" t="str">
        <x:v>Produto</x:v>
      </x:c>
      <x:c r="C20" s="81" t="str">
        <x:v>Rotas e módulos reais</x:v>
      </x:c>
      <x:c r="D20" s="81" t="str">
        <x:v>CONFIRMADO</x:v>
      </x:c>
      <x:c r="E20" s="81" t="str">
        <x:v>repo://src/App.tsx</x:v>
      </x:c>
      <x:c r="F20" s="81" t="str">
        <x:v>12/08/2026</x:v>
      </x:c>
      <x:c r="G20" s="81" t="str">
        <x:v>12/08/2026</x:v>
      </x:c>
      <x:c r="H20" s="81" t="str">
        <x:v>Alta</x:v>
      </x:c>
      <x:c r="I20" s="81" t="str">
        <x:v>Auditoria</x:v>
      </x:c>
    </x:row>
    <x:row r="21">
      <x:c r="A21" s="81" t="str">
        <x:v>R02</x:v>
      </x:c>
      <x:c r="B21" s="81" t="str">
        <x:v>Pricing atual</x:v>
      </x:c>
      <x:c r="C21" s="81" t="str">
        <x:v>R$99/R$149/R$299 + trial 14d</x:v>
      </x:c>
      <x:c r="D21" s="81" t="str">
        <x:v>CONFIRMADO</x:v>
      </x:c>
      <x:c r="E21" s="81" t="str">
        <x:v>repo://supabase/migrations/20260807120000_plans_subscriptions.sql</x:v>
      </x:c>
      <x:c r="F21" s="81" t="str">
        <x:v>07/08/2026</x:v>
      </x:c>
      <x:c r="G21" s="81" t="str">
        <x:v>12/08/2026</x:v>
      </x:c>
      <x:c r="H21" s="81" t="str">
        <x:v>Alta</x:v>
      </x:c>
      <x:c r="I21" s="81" t="str">
        <x:v>Hipótese atual</x:v>
      </x:c>
    </x:row>
    <x:row r="22">
      <x:c r="A22" s="81" t="str">
        <x:v>R03</x:v>
      </x:c>
      <x:c r="B22" s="81" t="str">
        <x:v>Billing</x:v>
      </x:c>
      <x:c r="C22" s="81" t="str">
        <x:v>MockPaymentProvider</x:v>
      </x:c>
      <x:c r="D22" s="81" t="str">
        <x:v>CONFIRMADO</x:v>
      </x:c>
      <x:c r="E22" s="81" t="str">
        <x:v>repo://src/services/paymentProvider.ts</x:v>
      </x:c>
      <x:c r="F22" s="81" t="str">
        <x:v>12/08/2026</x:v>
      </x:c>
      <x:c r="G22" s="81" t="str">
        <x:v>12/08/2026</x:v>
      </x:c>
      <x:c r="H22" s="81" t="str">
        <x:v>Alta</x:v>
      </x:c>
      <x:c r="I22" s="81" t="str">
        <x:v>Gap crítico</x:v>
      </x:c>
    </x:row>
  </x:sheetData>
  <x:mergeCells>
    <x:mergeCell ref="A1:I1"/>
    <x:mergeCell ref="A2:I2"/>
  </x:mergeCells>
  <x:pageMargins left="0.7" right="0.7" top="0.75" bottom="0.75" header="0.3" footer="0.3"/>
</x:worksheet>
</file>